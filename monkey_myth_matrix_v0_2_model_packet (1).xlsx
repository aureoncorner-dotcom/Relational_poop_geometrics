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2.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3.xml" ContentType="application/vnd.openxmlformats-officedocument.spreadsheetml.table+xml"/>
  <Override PartName="/xl/worksheets/sheet13.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tables/table9.xml" ContentType="application/vnd.openxmlformats-officedocument.spreadsheetml.table+xml"/>
  <Override PartName="/xl/worksheets/sheet18.xml" ContentType="application/vnd.openxmlformats-officedocument.spreadsheetml.worksheet+xml"/>
  <Override PartName="/xl/tables/table10.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dex" sheetId="1" state="visible" r:id="rId1"/>
    <sheet xmlns:r="http://schemas.openxmlformats.org/officeDocument/2006/relationships" name="Dashboard" sheetId="2" state="visible" r:id="rId2"/>
    <sheet xmlns:r="http://schemas.openxmlformats.org/officeDocument/2006/relationships" name="Master Matrix" sheetId="3" state="visible" r:id="rId3"/>
    <sheet xmlns:r="http://schemas.openxmlformats.org/officeDocument/2006/relationships" name="Story Bridge" sheetId="4" state="visible" r:id="rId4"/>
    <sheet xmlns:r="http://schemas.openxmlformats.org/officeDocument/2006/relationships" name="v0.19 Change Log" sheetId="5" state="visible" r:id="rId5"/>
    <sheet xmlns:r="http://schemas.openxmlformats.org/officeDocument/2006/relationships" name="v0.20 Change Log" sheetId="6" state="visible" r:id="rId6"/>
    <sheet xmlns:r="http://schemas.openxmlformats.org/officeDocument/2006/relationships" name="v0.21 Change Log" sheetId="7" state="visible" r:id="rId7"/>
    <sheet xmlns:r="http://schemas.openxmlformats.org/officeDocument/2006/relationships" name="Audit Notes" sheetId="8" state="visible" r:id="rId8"/>
    <sheet xmlns:r="http://schemas.openxmlformats.org/officeDocument/2006/relationships" name="Source Pass Priority" sheetId="9" state="visible" r:id="rId9"/>
    <sheet xmlns:r="http://schemas.openxmlformats.org/officeDocument/2006/relationships" name="Cluster Legend" sheetId="10" state="visible" r:id="rId10"/>
    <sheet xmlns:r="http://schemas.openxmlformats.org/officeDocument/2006/relationships" name="Validation" sheetId="11" state="visible" r:id="rId11"/>
    <sheet xmlns:r="http://schemas.openxmlformats.org/officeDocument/2006/relationships" name="Sources" sheetId="12" state="visible" r:id="rId12"/>
    <sheet xmlns:r="http://schemas.openxmlformats.org/officeDocument/2006/relationships" name="How to Use" sheetId="13" state="visible" r:id="rId13"/>
    <sheet xmlns:r="http://schemas.openxmlformats.org/officeDocument/2006/relationships" name="Model Run Prompts" sheetId="14" state="visible" r:id="rId14"/>
    <sheet xmlns:r="http://schemas.openxmlformats.org/officeDocument/2006/relationships" name="Source Pass Queue" sheetId="15" state="visible" r:id="rId15"/>
    <sheet xmlns:r="http://schemas.openxmlformats.org/officeDocument/2006/relationships" name="Cluster Build" sheetId="16" state="visible" r:id="rId16"/>
    <sheet xmlns:r="http://schemas.openxmlformats.org/officeDocument/2006/relationships" name="Regional Lanes" sheetId="17" state="visible" r:id="rId17"/>
    <sheet xmlns:r="http://schemas.openxmlformats.org/officeDocument/2006/relationships" name="Model Review Log" sheetId="18" state="visible" r:id="rId18"/>
  </sheets>
  <definedNames>
    <definedName name="_xlnm._FilterDatabase" localSheetId="2" hidden="1">'Master Matrix'!$A$1:$AG$85</definedName>
    <definedName name="_xlnm._FilterDatabase" localSheetId="3" hidden="1">'Story Bridge'!$A$4:$G$9</definedName>
  </definedNames>
  <calcPr calcId="124519" calcMode="auto" fullCalcOnLoad="1" refMode="A1" iterate="0" iterateCount="100" iterateDelta="0.001" forceFullCalc="1"/>
</workbook>
</file>

<file path=xl/styles.xml><?xml version="1.0" encoding="utf-8"?>
<styleSheet xmlns="http://schemas.openxmlformats.org/spreadsheetml/2006/main">
  <numFmts count="0"/>
  <fonts count="27">
    <font>
      <name val="Arial"/>
      <charset val="1"/>
      <family val="2"/>
      <sz val="10"/>
    </font>
    <font>
      <name val="Arial"/>
      <family val="0"/>
      <sz val="10"/>
    </font>
    <font>
      <name val="Arial"/>
      <family val="0"/>
      <sz val="10"/>
    </font>
    <font>
      <name val="Arial"/>
      <family val="0"/>
      <sz val="10"/>
    </font>
    <font>
      <name val="Calibri"/>
      <charset val="1"/>
      <family val="0"/>
      <b val="1"/>
      <sz val="16"/>
    </font>
    <font>
      <name val="Calibri"/>
      <charset val="1"/>
      <family val="0"/>
      <i val="1"/>
      <color rgb="FF6B7280"/>
      <sz val="10"/>
    </font>
    <font>
      <name val="Calibri"/>
      <charset val="1"/>
      <family val="0"/>
      <b val="1"/>
      <color rgb="FFFFFFFF"/>
      <sz val="12"/>
    </font>
    <font>
      <name val="Calibri"/>
      <charset val="1"/>
      <family val="0"/>
      <b val="1"/>
      <color rgb="FFFFFFFF"/>
      <sz val="10"/>
    </font>
    <font>
      <name val="Calibri"/>
      <charset val="1"/>
      <family val="0"/>
      <b val="1"/>
      <sz val="10"/>
    </font>
    <font>
      <name val="Calibri"/>
      <charset val="1"/>
      <family val="0"/>
      <sz val="10"/>
    </font>
    <font>
      <name val="Calibri"/>
      <charset val="1"/>
      <family val="0"/>
      <sz val="11"/>
    </font>
    <font>
      <name val="Calibri"/>
      <charset val="1"/>
      <family val="0"/>
      <b val="1"/>
      <color rgb="FFFFFFFF"/>
      <sz val="16"/>
    </font>
    <font>
      <name val="Calibri"/>
      <charset val="1"/>
      <family val="0"/>
      <color rgb="FF111827"/>
      <sz val="11"/>
    </font>
    <font>
      <name val="Calibri"/>
      <charset val="1"/>
      <family val="0"/>
      <b val="1"/>
      <sz val="11"/>
    </font>
    <font>
      <name val="Calibri"/>
      <charset val="1"/>
      <family val="0"/>
      <b val="1"/>
      <color rgb="FFFFFFFF"/>
      <sz val="11"/>
    </font>
    <font>
      <name val="Calibri"/>
      <charset val="1"/>
      <family val="0"/>
      <i val="1"/>
      <sz val="9"/>
    </font>
    <font>
      <name val="Calibri"/>
      <charset val="1"/>
      <family val="0"/>
      <b val="1"/>
      <color rgb="FFFFFFFF"/>
      <sz val="14"/>
    </font>
    <font>
      <name val="Calibri"/>
      <family val="2"/>
      <b val="1"/>
      <color rgb="FF000000"/>
      <sz val="18"/>
    </font>
    <font>
      <name val="Calibri"/>
      <family val="2"/>
      <color rgb="FF000000"/>
      <sz val="10"/>
    </font>
    <font>
      <name val="Calibri"/>
      <charset val="1"/>
      <family val="0"/>
      <b val="1"/>
      <sz val="14"/>
    </font>
    <font>
      <name val="Calibri"/>
      <charset val="1"/>
      <family val="0"/>
      <b val="1"/>
      <sz val="12"/>
    </font>
    <font>
      <name val="Calibri"/>
      <charset val="1"/>
      <family val="0"/>
      <i val="1"/>
      <sz val="10"/>
    </font>
    <font>
      <name val="Calibri"/>
      <color rgb="000563C1"/>
      <sz val="11"/>
      <u val="single"/>
    </font>
    <font>
      <b val="1"/>
      <color rgb="00FFFFFF"/>
      <sz val="15"/>
    </font>
    <font>
      <i val="1"/>
      <color rgb="001F2A44"/>
    </font>
    <font>
      <b val="1"/>
      <color rgb="00FFFFFF"/>
    </font>
    <font>
      <b val="1"/>
      <color rgb="001F2A44"/>
    </font>
  </fonts>
  <fills count="29">
    <fill>
      <patternFill/>
    </fill>
    <fill>
      <patternFill patternType="gray125"/>
    </fill>
    <fill>
      <patternFill patternType="solid">
        <fgColor rgb="FF374151"/>
        <bgColor rgb="FF1F2937"/>
      </patternFill>
    </fill>
    <fill>
      <patternFill patternType="solid">
        <fgColor rgb="FF6B7280"/>
        <bgColor rgb="FF8B8B8B"/>
      </patternFill>
    </fill>
    <fill>
      <patternFill patternType="solid">
        <fgColor rgb="FFFEF3C7"/>
        <bgColor rgb="FFFFF2CC"/>
      </patternFill>
    </fill>
    <fill>
      <patternFill patternType="solid">
        <fgColor rgb="FFDCFCE7"/>
        <bgColor rgb="FFDDEBF7"/>
      </patternFill>
    </fill>
    <fill>
      <patternFill patternType="solid">
        <fgColor rgb="FFE0E7FF"/>
        <bgColor rgb="FFDBEAFE"/>
      </patternFill>
    </fill>
    <fill>
      <patternFill patternType="solid">
        <fgColor rgb="FF1F2937"/>
        <bgColor rgb="FF111827"/>
      </patternFill>
    </fill>
    <fill>
      <patternFill patternType="solid">
        <fgColor rgb="FFF9FAFB"/>
        <bgColor rgb="FFFFFFFF"/>
      </patternFill>
    </fill>
    <fill>
      <patternFill patternType="solid">
        <fgColor rgb="FF7C2D12"/>
        <bgColor rgb="FF993366"/>
      </patternFill>
    </fill>
    <fill>
      <patternFill patternType="solid">
        <fgColor rgb="FF14532D"/>
        <bgColor rgb="FF065F46"/>
      </patternFill>
    </fill>
    <fill>
      <patternFill patternType="solid">
        <fgColor rgb="FFC6EFCE"/>
        <bgColor rgb="FFDCFCE7"/>
      </patternFill>
    </fill>
    <fill>
      <patternFill patternType="solid">
        <fgColor rgb="FFDDEBF7"/>
        <bgColor rgb="FFDBEAFE"/>
      </patternFill>
    </fill>
    <fill>
      <patternFill patternType="solid">
        <fgColor rgb="FFFFF2CC"/>
        <bgColor rgb="FFFEF3C7"/>
      </patternFill>
    </fill>
    <fill>
      <patternFill patternType="solid">
        <fgColor rgb="FFFFC7CE"/>
        <bgColor rgb="FFFEE2E2"/>
      </patternFill>
    </fill>
    <fill>
      <patternFill patternType="solid">
        <fgColor rgb="FFFCE4D6"/>
        <bgColor rgb="FFFEE2E2"/>
      </patternFill>
    </fill>
    <fill>
      <patternFill patternType="solid">
        <fgColor rgb="FFE7E6E6"/>
        <bgColor rgb="FFDDEBF7"/>
      </patternFill>
    </fill>
    <fill>
      <patternFill patternType="solid">
        <fgColor rgb="FF0F766E"/>
        <bgColor rgb="FF156082"/>
      </patternFill>
    </fill>
    <fill>
      <patternFill patternType="solid">
        <fgColor rgb="FF111827"/>
        <bgColor rgb="FF1F2937"/>
      </patternFill>
    </fill>
    <fill>
      <patternFill patternType="solid">
        <fgColor rgb="FF065F46"/>
        <bgColor rgb="FF14532D"/>
      </patternFill>
    </fill>
    <fill>
      <patternFill patternType="solid">
        <fgColor rgb="FF1D4ED8"/>
        <bgColor rgb="FF3366FF"/>
      </patternFill>
    </fill>
    <fill>
      <patternFill patternType="solid">
        <fgColor rgb="FF4C1D95"/>
        <bgColor rgb="FF660066"/>
      </patternFill>
    </fill>
    <fill>
      <patternFill patternType="solid">
        <fgColor rgb="001F2A44"/>
      </patternFill>
    </fill>
    <fill>
      <patternFill patternType="solid">
        <fgColor rgb="00D9E3F0"/>
      </patternFill>
    </fill>
    <fill>
      <patternFill patternType="solid">
        <fgColor rgb="00177E89"/>
      </patternFill>
    </fill>
    <fill>
      <patternFill patternType="solid">
        <fgColor rgb="00EAF3F4"/>
      </patternFill>
    </fill>
    <fill>
      <patternFill patternType="solid">
        <fgColor rgb="00FFF2CC"/>
      </patternFill>
    </fill>
    <fill>
      <patternFill patternType="solid">
        <fgColor rgb="00FCE4D6"/>
      </patternFill>
    </fill>
    <fill>
      <patternFill patternType="solid">
        <fgColor rgb="00FFFFFF"/>
      </patternFill>
    </fill>
  </fills>
  <borders count="9">
    <border>
      <left/>
      <right/>
      <top/>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D0D0D0"/>
      </left>
      <right style="thin">
        <color rgb="FFD0D0D0"/>
      </right>
      <top style="thin">
        <color rgb="FFD0D0D0"/>
      </top>
      <bottom style="thin">
        <color rgb="FFD0D0D0"/>
      </bottom>
      <diagonal/>
    </border>
    <border>
      <left/>
      <right/>
      <top style="thin">
        <color rgb="FFD1D5DB"/>
      </top>
      <bottom/>
      <diagonal/>
    </border>
    <border>
      <left/>
      <right style="thin">
        <color rgb="FFD1D5DB"/>
      </right>
      <top style="thin">
        <color rgb="FFD1D5DB"/>
      </top>
      <bottom/>
      <diagonal/>
    </border>
    <border>
      <left style="thin">
        <color rgb="00B7C9D3"/>
      </left>
      <right style="thin">
        <color rgb="00B7C9D3"/>
      </right>
      <top style="thin">
        <color rgb="00B7C9D3"/>
      </top>
      <bottom style="thin">
        <color rgb="00B7C9D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center"/>
    </xf>
    <xf numFmtId="0" fontId="7" fillId="3" borderId="1" applyAlignment="1" pivotButton="0" quotePrefix="0" xfId="0">
      <alignment horizontal="general" vertical="top"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0" fillId="0" borderId="1" applyAlignment="1" pivotButton="0" quotePrefix="0" xfId="0">
      <alignment horizontal="general" vertical="bottom"/>
    </xf>
    <xf numFmtId="0" fontId="9" fillId="0" borderId="2" applyAlignment="1" pivotButton="0" quotePrefix="0" xfId="0">
      <alignment horizontal="general" vertical="top" wrapText="1"/>
    </xf>
    <xf numFmtId="0" fontId="9" fillId="4" borderId="1" applyAlignment="1" pivotButton="0" quotePrefix="0" xfId="0">
      <alignment horizontal="general" vertical="top" wrapText="1"/>
    </xf>
    <xf numFmtId="0" fontId="9" fillId="5" borderId="1" applyAlignment="1" pivotButton="0" quotePrefix="0" xfId="0">
      <alignment horizontal="general" vertical="top" wrapText="1"/>
    </xf>
    <xf numFmtId="0" fontId="8" fillId="5" borderId="1" applyAlignment="1" pivotButton="0" quotePrefix="0" xfId="0">
      <alignment horizontal="general" vertical="top" wrapText="1"/>
    </xf>
    <xf numFmtId="0" fontId="8" fillId="6" borderId="1" applyAlignment="1" pivotButton="0" quotePrefix="0" xfId="0">
      <alignment horizontal="general" vertical="top" wrapText="1"/>
    </xf>
    <xf numFmtId="0" fontId="9" fillId="6" borderId="1" applyAlignment="1" pivotButton="0" quotePrefix="0" xfId="0">
      <alignment horizontal="general" vertical="top" wrapText="1"/>
    </xf>
    <xf numFmtId="0" fontId="6" fillId="2" borderId="0" applyAlignment="1" pivotButton="0" quotePrefix="0" xfId="0">
      <alignment horizontal="general" vertical="center"/>
    </xf>
    <xf numFmtId="0" fontId="0" fillId="0" borderId="0" applyAlignment="1" pivotButton="0" quotePrefix="0" xfId="0">
      <alignment horizontal="general" vertical="bottom"/>
    </xf>
    <xf numFmtId="0" fontId="0" fillId="0" borderId="3" applyAlignment="1" pivotButton="0" quotePrefix="0" xfId="0">
      <alignment horizontal="general" vertical="bottom"/>
    </xf>
    <xf numFmtId="0" fontId="0" fillId="0" borderId="4" applyAlignment="1" pivotButton="0" quotePrefix="0" xfId="0">
      <alignment horizontal="general" vertical="bottom"/>
    </xf>
    <xf numFmtId="0" fontId="5" fillId="0" borderId="0" applyAlignment="1" pivotButton="0" quotePrefix="0" xfId="0">
      <alignment horizontal="general" vertical="bottom"/>
    </xf>
    <xf numFmtId="0" fontId="10" fillId="0" borderId="0" applyAlignment="1" pivotButton="0" quotePrefix="0" xfId="0">
      <alignment horizontal="general" vertical="bottom"/>
    </xf>
    <xf numFmtId="0" fontId="11" fillId="7" borderId="0" applyAlignment="1" pivotButton="0" quotePrefix="0" xfId="0">
      <alignment horizontal="left" vertical="top" wrapText="1"/>
    </xf>
    <xf numFmtId="0" fontId="10" fillId="0" borderId="0" applyAlignment="1" pivotButton="0" quotePrefix="0" xfId="0">
      <alignment horizontal="general" vertical="top" wrapText="1"/>
    </xf>
    <xf numFmtId="0" fontId="12" fillId="8" borderId="0" applyAlignment="1" pivotButton="0" quotePrefix="0" xfId="0">
      <alignment horizontal="general" vertical="top" wrapText="1"/>
    </xf>
    <xf numFmtId="0" fontId="13" fillId="0" borderId="0" applyAlignment="1" pivotButton="0" quotePrefix="0" xfId="0">
      <alignment horizontal="general" vertical="bottom"/>
    </xf>
    <xf numFmtId="0" fontId="14" fillId="2" borderId="0" applyAlignment="1" pivotButton="0" quotePrefix="0" xfId="0">
      <alignment horizontal="center" vertical="center"/>
    </xf>
    <xf numFmtId="0" fontId="14" fillId="2" borderId="0" applyAlignment="1" pivotButton="0" quotePrefix="0" xfId="0">
      <alignment horizontal="general" vertical="bottom"/>
    </xf>
    <xf numFmtId="0" fontId="10" fillId="0" borderId="0" applyAlignment="1" pivotButton="0" quotePrefix="0" xfId="0">
      <alignment horizontal="general" vertical="bottom" wrapText="1"/>
    </xf>
    <xf numFmtId="9" fontId="0" fillId="0" borderId="0" applyAlignment="1" pivotButton="0" quotePrefix="0" xfId="0">
      <alignment horizontal="general" vertical="bottom"/>
    </xf>
    <xf numFmtId="0" fontId="15" fillId="0" borderId="0" applyAlignment="1" pivotButton="0" quotePrefix="0" xfId="0">
      <alignment horizontal="general" vertical="bottom"/>
    </xf>
    <xf numFmtId="0" fontId="16" fillId="9" borderId="0" applyAlignment="1" pivotButton="0" quotePrefix="0" xfId="0">
      <alignment horizontal="left" vertical="center" wrapText="1"/>
    </xf>
    <xf numFmtId="0" fontId="14" fillId="2" borderId="0" applyAlignment="1" pivotButton="0" quotePrefix="0" xfId="0">
      <alignment horizontal="center" vertical="center" wrapText="1"/>
    </xf>
    <xf numFmtId="0" fontId="14" fillId="2" borderId="0" applyAlignment="1" pivotButton="0" quotePrefix="0" xfId="0">
      <alignment horizontal="center" vertical="top" wrapText="1"/>
    </xf>
    <xf numFmtId="0" fontId="14" fillId="9" borderId="0" applyAlignment="1" pivotButton="0" quotePrefix="0" xfId="0">
      <alignment horizontal="center" vertical="center" wrapText="1"/>
    </xf>
    <xf numFmtId="0" fontId="14" fillId="10" borderId="0" applyAlignment="1" pivotButton="0" quotePrefix="0" xfId="0">
      <alignment horizontal="general" vertical="center" wrapText="1"/>
    </xf>
    <xf numFmtId="0" fontId="10" fillId="11" borderId="0" applyAlignment="1" pivotButton="0" quotePrefix="0" xfId="0">
      <alignment horizontal="general" vertical="top" wrapText="1"/>
    </xf>
    <xf numFmtId="0" fontId="10" fillId="12" borderId="0" applyAlignment="1" pivotButton="0" quotePrefix="0" xfId="0">
      <alignment horizontal="general" vertical="top" wrapText="1"/>
    </xf>
    <xf numFmtId="0" fontId="10" fillId="13" borderId="0" applyAlignment="1" pivotButton="0" quotePrefix="0" xfId="0">
      <alignment horizontal="general" vertical="top" wrapText="1"/>
    </xf>
    <xf numFmtId="0" fontId="10" fillId="14" borderId="0" applyAlignment="1" pivotButton="0" quotePrefix="0" xfId="0">
      <alignment horizontal="general" vertical="top" wrapText="1"/>
    </xf>
    <xf numFmtId="0" fontId="10" fillId="15" borderId="0" applyAlignment="1" pivotButton="0" quotePrefix="0" xfId="0">
      <alignment horizontal="general" vertical="top" wrapText="1"/>
    </xf>
    <xf numFmtId="0" fontId="10" fillId="16" borderId="0" applyAlignment="1" pivotButton="0" quotePrefix="0" xfId="0">
      <alignment horizontal="general" vertical="top" wrapText="1"/>
    </xf>
    <xf numFmtId="0" fontId="19" fillId="0" borderId="0" applyAlignment="1" pivotButton="0" quotePrefix="0" xfId="0">
      <alignment horizontal="general" vertical="bottom"/>
    </xf>
    <xf numFmtId="0" fontId="14" fillId="2" borderId="5" applyAlignment="1" pivotButton="0" quotePrefix="0" xfId="0">
      <alignment horizontal="general" vertical="center" wrapText="1"/>
    </xf>
    <xf numFmtId="0" fontId="10" fillId="0" borderId="5" applyAlignment="1" pivotButton="0" quotePrefix="0" xfId="0">
      <alignment horizontal="general" vertical="top" wrapText="1"/>
    </xf>
    <xf numFmtId="0" fontId="20" fillId="0" borderId="0" applyAlignment="1" pivotButton="0" quotePrefix="0" xfId="0">
      <alignment horizontal="general" vertical="bottom"/>
    </xf>
    <xf numFmtId="0" fontId="13" fillId="0" borderId="0" applyAlignment="1" pivotButton="0" quotePrefix="0" xfId="0">
      <alignment horizontal="general" vertical="bottom"/>
    </xf>
    <xf numFmtId="0" fontId="19" fillId="0" borderId="0" applyAlignment="1" pivotButton="0" quotePrefix="0" xfId="0">
      <alignment horizontal="general" vertical="bottom"/>
    </xf>
    <xf numFmtId="0" fontId="21" fillId="0" borderId="0" applyAlignment="1" pivotButton="0" quotePrefix="0" xfId="0">
      <alignment horizontal="general" vertical="bottom"/>
    </xf>
    <xf numFmtId="0" fontId="14" fillId="2" borderId="0" applyAlignment="1" pivotButton="0" quotePrefix="0" xfId="0">
      <alignment horizontal="general" vertical="top" wrapText="1"/>
    </xf>
    <xf numFmtId="0" fontId="21"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0" fillId="0" borderId="0" applyAlignment="1" pivotButton="0" quotePrefix="0" xfId="0">
      <alignment horizontal="general" vertical="bottom"/>
    </xf>
    <xf numFmtId="0" fontId="21" fillId="0" borderId="0" applyAlignment="1" pivotButton="0" quotePrefix="0" xfId="0">
      <alignment horizontal="general" vertical="top" wrapText="1"/>
    </xf>
    <xf numFmtId="0" fontId="16" fillId="17" borderId="0" applyAlignment="1" pivotButton="0" quotePrefix="0" xfId="0">
      <alignment horizontal="left" vertical="center" wrapText="1"/>
    </xf>
    <xf numFmtId="0" fontId="14" fillId="7" borderId="0" applyAlignment="1" pivotButton="0" quotePrefix="0" xfId="0">
      <alignment horizontal="center" vertical="top" wrapText="1"/>
    </xf>
    <xf numFmtId="0" fontId="16" fillId="18" borderId="0" applyAlignment="1" pivotButton="0" quotePrefix="0" xfId="0">
      <alignment horizontal="left" vertical="center" wrapText="1"/>
    </xf>
    <xf numFmtId="0" fontId="16" fillId="9" borderId="0" applyAlignment="1" pivotButton="0" quotePrefix="0" xfId="0">
      <alignment horizontal="left" vertical="center" wrapText="1"/>
    </xf>
    <xf numFmtId="0" fontId="16" fillId="19" borderId="0" applyAlignment="1" pivotButton="0" quotePrefix="0" xfId="0">
      <alignment horizontal="left" vertical="center" wrapText="1"/>
    </xf>
    <xf numFmtId="0" fontId="16" fillId="20" borderId="0" applyAlignment="1" pivotButton="0" quotePrefix="0" xfId="0">
      <alignment horizontal="left" vertical="center" wrapText="1"/>
    </xf>
    <xf numFmtId="0" fontId="16" fillId="21"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center"/>
    </xf>
    <xf numFmtId="0" fontId="7" fillId="3" borderId="1" applyAlignment="1" pivotButton="0" quotePrefix="0" xfId="0">
      <alignment horizontal="general" vertical="top"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0" fillId="0" borderId="1" applyAlignment="1" pivotButton="0" quotePrefix="0" xfId="0">
      <alignment horizontal="general" vertical="bottom"/>
    </xf>
    <xf numFmtId="0" fontId="9" fillId="0" borderId="2" applyAlignment="1" pivotButton="0" quotePrefix="0" xfId="0">
      <alignment horizontal="general" vertical="top" wrapText="1"/>
    </xf>
    <xf numFmtId="0" fontId="0" fillId="0" borderId="3" pivotButton="0" quotePrefix="0" xfId="0"/>
    <xf numFmtId="0" fontId="9" fillId="4" borderId="1" applyAlignment="1" pivotButton="0" quotePrefix="0" xfId="0">
      <alignment horizontal="general" vertical="top" wrapText="1"/>
    </xf>
    <xf numFmtId="0" fontId="9" fillId="5" borderId="1" applyAlignment="1" pivotButton="0" quotePrefix="0" xfId="0">
      <alignment horizontal="general" vertical="top" wrapText="1"/>
    </xf>
    <xf numFmtId="0" fontId="8" fillId="5" borderId="1" applyAlignment="1" pivotButton="0" quotePrefix="0" xfId="0">
      <alignment horizontal="general" vertical="top" wrapText="1"/>
    </xf>
    <xf numFmtId="0" fontId="8" fillId="6" borderId="1" applyAlignment="1" pivotButton="0" quotePrefix="0" xfId="0">
      <alignment horizontal="general" vertical="top" wrapText="1"/>
    </xf>
    <xf numFmtId="0" fontId="9" fillId="6" borderId="1" applyAlignment="1" pivotButton="0" quotePrefix="0" xfId="0">
      <alignment horizontal="general" vertical="top" wrapText="1"/>
    </xf>
    <xf numFmtId="0" fontId="8" fillId="5" borderId="1" applyAlignment="1" pivotButton="0" quotePrefix="0" xfId="0">
      <alignment horizontal="general" vertical="top" wrapText="1"/>
    </xf>
    <xf numFmtId="0" fontId="9" fillId="0" borderId="1" applyAlignment="1" pivotButton="0" quotePrefix="0" xfId="0">
      <alignment horizontal="general" vertical="top" wrapText="1"/>
    </xf>
    <xf numFmtId="0" fontId="9" fillId="5" borderId="1" applyAlignment="1" pivotButton="0" quotePrefix="0" xfId="0">
      <alignment horizontal="general" vertical="top" wrapText="1"/>
    </xf>
    <xf numFmtId="0" fontId="8" fillId="6" borderId="1" applyAlignment="1" pivotButton="0" quotePrefix="0" xfId="0">
      <alignment horizontal="general" vertical="top" wrapText="1"/>
    </xf>
    <xf numFmtId="0" fontId="9" fillId="6" borderId="1" applyAlignment="1" pivotButton="0" quotePrefix="0" xfId="0">
      <alignment horizontal="general" vertical="top" wrapText="1"/>
    </xf>
    <xf numFmtId="0" fontId="0" fillId="0" borderId="4" pivotButton="0" quotePrefix="0" xfId="0"/>
    <xf numFmtId="0" fontId="0" fillId="0" borderId="3" applyAlignment="1" pivotButton="0" quotePrefix="0" xfId="0">
      <alignment horizontal="general" vertical="bottom"/>
    </xf>
    <xf numFmtId="0" fontId="0" fillId="0" borderId="4" applyAlignment="1" pivotButton="0" quotePrefix="0" xfId="0">
      <alignment horizontal="general" vertical="bottom"/>
    </xf>
    <xf numFmtId="0" fontId="10" fillId="0" borderId="0" applyAlignment="1" pivotButton="0" quotePrefix="0" xfId="0">
      <alignment horizontal="general" vertical="bottom"/>
    </xf>
    <xf numFmtId="0" fontId="11" fillId="7" borderId="0" applyAlignment="1" pivotButton="0" quotePrefix="0" xfId="0">
      <alignment horizontal="left" vertical="top" wrapText="1"/>
    </xf>
    <xf numFmtId="0" fontId="10" fillId="0" borderId="0" applyAlignment="1" pivotButton="0" quotePrefix="0" xfId="0">
      <alignment horizontal="general" vertical="top" wrapText="1"/>
    </xf>
    <xf numFmtId="0" fontId="12" fillId="8" borderId="0" applyAlignment="1" pivotButton="0" quotePrefix="0" xfId="0">
      <alignment horizontal="general" vertical="top" wrapText="1"/>
    </xf>
    <xf numFmtId="0" fontId="13" fillId="0" borderId="0" applyAlignment="1" pivotButton="0" quotePrefix="0" xfId="0">
      <alignment horizontal="general" vertical="bottom"/>
    </xf>
    <xf numFmtId="0" fontId="13" fillId="0" borderId="0" applyAlignment="1" pivotButton="0" quotePrefix="0" xfId="0">
      <alignment vertical="top" wrapText="1"/>
    </xf>
    <xf numFmtId="0" fontId="0" fillId="0" borderId="0" applyAlignment="1" pivotButton="0" quotePrefix="0" xfId="0">
      <alignment vertical="top" wrapText="1"/>
    </xf>
    <xf numFmtId="0" fontId="14" fillId="2" borderId="0" applyAlignment="1" pivotButton="0" quotePrefix="0" xfId="0">
      <alignment horizontal="center" vertical="center"/>
    </xf>
    <xf numFmtId="0" fontId="14" fillId="2" borderId="0" applyAlignment="1" pivotButton="0" quotePrefix="0" xfId="0">
      <alignment horizontal="general" vertical="bottom"/>
    </xf>
    <xf numFmtId="0" fontId="14" fillId="2" borderId="0" applyAlignment="1" pivotButton="0" quotePrefix="0" xfId="0">
      <alignment vertical="top" wrapText="1"/>
    </xf>
    <xf numFmtId="0" fontId="10" fillId="0" borderId="0" applyAlignment="1" pivotButton="0" quotePrefix="0" xfId="0">
      <alignment horizontal="general" vertical="bottom" wrapText="1"/>
    </xf>
    <xf numFmtId="9" fontId="0" fillId="0" borderId="0" applyAlignment="1" pivotButton="0" quotePrefix="0" xfId="0">
      <alignment horizontal="general" vertical="bottom"/>
    </xf>
    <xf numFmtId="0" fontId="15" fillId="0" borderId="0" applyAlignment="1" pivotButton="0" quotePrefix="0" xfId="0">
      <alignment horizontal="general" vertical="bottom"/>
    </xf>
    <xf numFmtId="0" fontId="10" fillId="0" borderId="0" applyAlignment="1" pivotButton="0" quotePrefix="0" xfId="0">
      <alignment horizontal="general" vertical="bottom" wrapText="1"/>
    </xf>
    <xf numFmtId="0" fontId="16" fillId="9" borderId="0" applyAlignment="1" pivotButton="0" quotePrefix="0" xfId="0">
      <alignment horizontal="left" vertical="center" wrapText="1"/>
    </xf>
    <xf numFmtId="0" fontId="14" fillId="2" borderId="0" applyAlignment="1" pivotButton="0" quotePrefix="0" xfId="0">
      <alignment horizontal="center" vertical="center" wrapText="1"/>
    </xf>
    <xf numFmtId="0" fontId="14" fillId="2" borderId="0" applyAlignment="1" pivotButton="0" quotePrefix="0" xfId="0">
      <alignment horizontal="center" vertical="top" wrapText="1"/>
    </xf>
    <xf numFmtId="0" fontId="14" fillId="9" borderId="0" applyAlignment="1" pivotButton="0" quotePrefix="0" xfId="0">
      <alignment horizontal="center" vertical="center" wrapText="1"/>
    </xf>
    <xf numFmtId="0" fontId="14" fillId="10" borderId="0" applyAlignment="1" pivotButton="0" quotePrefix="0" xfId="0">
      <alignment horizontal="general" vertical="center" wrapText="1"/>
    </xf>
    <xf numFmtId="0" fontId="14" fillId="10" borderId="0" applyAlignment="1" pivotButton="0" quotePrefix="0" xfId="0">
      <alignment horizontal="general" vertical="center" wrapText="1"/>
    </xf>
    <xf numFmtId="0" fontId="10" fillId="11" borderId="0" applyAlignment="1" pivotButton="0" quotePrefix="0" xfId="0">
      <alignment horizontal="general" vertical="top" wrapText="1"/>
    </xf>
    <xf numFmtId="0" fontId="10" fillId="0" borderId="0" applyAlignment="1" pivotButton="0" quotePrefix="0" xfId="0">
      <alignment horizontal="general" vertical="top" wrapText="1"/>
    </xf>
    <xf numFmtId="0" fontId="10" fillId="12" borderId="0" applyAlignment="1" pivotButton="0" quotePrefix="0" xfId="0">
      <alignment horizontal="general" vertical="top" wrapText="1"/>
    </xf>
    <xf numFmtId="0" fontId="10" fillId="13" borderId="0" applyAlignment="1" pivotButton="0" quotePrefix="0" xfId="0">
      <alignment horizontal="general" vertical="top" wrapText="1"/>
    </xf>
    <xf numFmtId="0" fontId="10" fillId="14" borderId="0" applyAlignment="1" pivotButton="0" quotePrefix="0" xfId="0">
      <alignment horizontal="general" vertical="top" wrapText="1"/>
    </xf>
    <xf numFmtId="0" fontId="10" fillId="15" borderId="0" applyAlignment="1" pivotButton="0" quotePrefix="0" xfId="0">
      <alignment horizontal="general" vertical="top" wrapText="1"/>
    </xf>
    <xf numFmtId="0" fontId="10" fillId="16" borderId="0" applyAlignment="1" pivotButton="0" quotePrefix="0" xfId="0">
      <alignment horizontal="general" vertical="top" wrapText="1"/>
    </xf>
    <xf numFmtId="0" fontId="10" fillId="0" borderId="0" applyAlignment="1" pivotButton="0" quotePrefix="0" xfId="0">
      <alignment vertical="top" wrapText="1"/>
    </xf>
    <xf numFmtId="0" fontId="22" fillId="0" borderId="0" applyAlignment="1" pivotButton="0" quotePrefix="0" xfId="0">
      <alignment vertical="top" wrapText="1"/>
    </xf>
    <xf numFmtId="0" fontId="10" fillId="11" borderId="0" applyAlignment="1" pivotButton="0" quotePrefix="0" xfId="0">
      <alignment horizontal="general" vertical="top" wrapText="1"/>
    </xf>
    <xf numFmtId="0" fontId="10" fillId="12" borderId="0" applyAlignment="1" pivotButton="0" quotePrefix="0" xfId="0">
      <alignment horizontal="general" vertical="top" wrapText="1"/>
    </xf>
    <xf numFmtId="0" fontId="10" fillId="13" borderId="0" applyAlignment="1" pivotButton="0" quotePrefix="0" xfId="0">
      <alignment horizontal="general" vertical="top" wrapText="1"/>
    </xf>
    <xf numFmtId="0" fontId="23" fillId="22" borderId="0" applyAlignment="1" pivotButton="0" quotePrefix="0" xfId="0">
      <alignment vertical="center"/>
    </xf>
    <xf numFmtId="0" fontId="24" fillId="23" borderId="0" applyAlignment="1" pivotButton="0" quotePrefix="0" xfId="0">
      <alignment vertical="center" wrapText="1"/>
    </xf>
    <xf numFmtId="0" fontId="25" fillId="24" borderId="0" applyAlignment="1" pivotButton="0" quotePrefix="0" xfId="0">
      <alignment vertical="center" wrapText="1"/>
    </xf>
    <xf numFmtId="0" fontId="26" fillId="25" borderId="8" applyAlignment="1" pivotButton="0" quotePrefix="0" xfId="0">
      <alignment vertical="top" wrapText="1"/>
    </xf>
    <xf numFmtId="0" fontId="0" fillId="25" borderId="8" applyAlignment="1" pivotButton="0" quotePrefix="0" xfId="0">
      <alignment vertical="top" wrapText="1"/>
    </xf>
    <xf numFmtId="0" fontId="0" fillId="26" borderId="8" applyAlignment="1" pivotButton="0" quotePrefix="0" xfId="0">
      <alignment vertical="top" wrapText="1"/>
    </xf>
    <xf numFmtId="0" fontId="0" fillId="27" borderId="8" applyAlignment="1" pivotButton="0" quotePrefix="0" xfId="0">
      <alignment vertical="top" wrapText="1"/>
    </xf>
    <xf numFmtId="0" fontId="26" fillId="28" borderId="8" applyAlignment="1" pivotButton="0" quotePrefix="0" xfId="0">
      <alignment vertical="top" wrapText="1"/>
    </xf>
    <xf numFmtId="0" fontId="0" fillId="28" borderId="8" applyAlignment="1" pivotButton="0" quotePrefix="0" xfId="0">
      <alignment vertical="top" wrapText="1"/>
    </xf>
    <xf numFmtId="0" fontId="19" fillId="0" borderId="0" applyAlignment="1" pivotButton="0" quotePrefix="0" xfId="0">
      <alignment horizontal="general" vertical="bottom"/>
    </xf>
    <xf numFmtId="0" fontId="14" fillId="2" borderId="5" applyAlignment="1" pivotButton="0" quotePrefix="0" xfId="0">
      <alignment horizontal="general" vertical="center" wrapText="1"/>
    </xf>
    <xf numFmtId="0" fontId="10" fillId="0" borderId="5" applyAlignment="1" pivotButton="0" quotePrefix="0" xfId="0">
      <alignment horizontal="general" vertical="top" wrapText="1"/>
    </xf>
    <xf numFmtId="0" fontId="20" fillId="0" borderId="0" applyAlignment="1" pivotButton="0" quotePrefix="0" xfId="0">
      <alignment horizontal="general" vertical="bottom"/>
    </xf>
    <xf numFmtId="0" fontId="21" fillId="0" borderId="0" applyAlignment="1" pivotButton="0" quotePrefix="0" xfId="0">
      <alignment horizontal="general" vertical="bottom"/>
    </xf>
    <xf numFmtId="0" fontId="14" fillId="2" borderId="0" applyAlignment="1" pivotButton="0" quotePrefix="0" xfId="0">
      <alignment horizontal="general" vertical="top" wrapText="1"/>
    </xf>
    <xf numFmtId="0" fontId="21" fillId="0" borderId="0" applyAlignment="1" pivotButton="0" quotePrefix="0" xfId="0">
      <alignment horizontal="general" vertical="top" wrapText="1"/>
    </xf>
    <xf numFmtId="0" fontId="10" fillId="0" borderId="5" applyAlignment="1" pivotButton="0" quotePrefix="0" xfId="0">
      <alignment horizontal="general" vertical="top" wrapText="1"/>
    </xf>
    <xf numFmtId="0" fontId="13" fillId="0" borderId="0" applyAlignment="1" pivotButton="0" quotePrefix="0" xfId="0">
      <alignment horizontal="general" vertical="top" wrapText="1"/>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0" fontId="16" fillId="17" borderId="0" applyAlignment="1" pivotButton="0" quotePrefix="0" xfId="0">
      <alignment horizontal="left" vertical="center" wrapText="1"/>
    </xf>
    <xf numFmtId="0" fontId="14" fillId="7" borderId="0" applyAlignment="1" pivotButton="0" quotePrefix="0" xfId="0">
      <alignment horizontal="center" vertical="top" wrapText="1"/>
    </xf>
    <xf numFmtId="0" fontId="16" fillId="18" borderId="0" applyAlignment="1" pivotButton="0" quotePrefix="0" xfId="0">
      <alignment horizontal="left" vertical="center" wrapText="1"/>
    </xf>
    <xf numFmtId="0" fontId="16" fillId="19" borderId="0" applyAlignment="1" pivotButton="0" quotePrefix="0" xfId="0">
      <alignment horizontal="left" vertical="center" wrapText="1"/>
    </xf>
    <xf numFmtId="0" fontId="16" fillId="20" borderId="0" applyAlignment="1" pivotButton="0" quotePrefix="0" xfId="0">
      <alignment horizontal="left" vertical="center" wrapText="1"/>
    </xf>
    <xf numFmtId="0" fontId="16" fillId="21" borderId="0"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374151"/>
          <bgColor rgb="FF000000"/>
        </patternFill>
      </fill>
    </dxf>
    <dxf>
      <fill>
        <patternFill patternType="solid">
          <bgColor rgb="FF000000"/>
        </patternFill>
      </fill>
    </dxf>
    <dxf>
      <fill>
        <patternFill patternType="solid">
          <fgColor rgb="FFFFFFFF"/>
          <bgColor rgb="FF000000"/>
        </patternFill>
      </fill>
    </dxf>
    <dxf>
      <fill>
        <patternFill>
          <bgColor rgb="FFDCFCE7"/>
        </patternFill>
      </fill>
    </dxf>
    <dxf>
      <fill>
        <patternFill>
          <bgColor rgb="FFDBEAFE"/>
        </patternFill>
      </fill>
    </dxf>
    <dxf>
      <fill>
        <patternFill>
          <bgColor rgb="FFFEF3C7"/>
        </patternFill>
      </fill>
    </dxf>
    <dxf>
      <fill>
        <patternFill>
          <bgColor rgb="FFFEE2E2"/>
        </patternFill>
      </fill>
    </dxf>
    <dxf>
      <fill>
        <patternFill>
          <bgColor rgb="FFFEF9C3"/>
        </patternFill>
      </fill>
    </dxf>
    <dxf>
      <fill>
        <patternFill>
          <bgColor rgb="FFE0E7FF"/>
        </patternFill>
      </fill>
    </dxf>
    <dxf>
      <fill>
        <patternFill patternType="solid">
          <fgColor rgb="FF1F2937"/>
          <bgColor rgb="FF000000"/>
        </patternFill>
      </fill>
    </dxf>
    <dxf>
      <fill>
        <patternFill patternType="solid">
          <fgColor rgb="FF065F46"/>
          <bgColor rgb="FF000000"/>
        </patternFill>
      </fill>
    </dxf>
  </dxfs>
  <colors>
    <indexedColors>
      <rgbColor rgb="FF000000"/>
      <rgbColor rgb="FFFFFFFF"/>
      <rgbColor rgb="FFFF0000"/>
      <rgbColor rgb="FF00FF00"/>
      <rgbColor rgb="FF0000FF"/>
      <rgbColor rgb="FFFFF2CC"/>
      <rgbColor rgb="FFFF00FF"/>
      <rgbColor rgb="FF00FFFF"/>
      <rgbColor rgb="FF800000"/>
      <rgbColor rgb="FF065F46"/>
      <rgbColor rgb="FF000080"/>
      <rgbColor rgb="FF808000"/>
      <rgbColor rgb="FF800080"/>
      <rgbColor rgb="FF0F766E"/>
      <rgbColor rgb="FFCCCCCC"/>
      <rgbColor rgb="FF8B8B8B"/>
      <rgbColor rgb="FFE0E7FF"/>
      <rgbColor rgb="FF993366"/>
      <rgbColor rgb="FFFEF9C3"/>
      <rgbColor rgb="FFDCFCE7"/>
      <rgbColor rgb="FF660066"/>
      <rgbColor rgb="FFF9FAFB"/>
      <rgbColor rgb="FF1D4ED8"/>
      <rgbColor rgb="FFD1D5DB"/>
      <rgbColor rgb="FF000080"/>
      <rgbColor rgb="FFFF00FF"/>
      <rgbColor rgb="FFE7E6E6"/>
      <rgbColor rgb="FF00FFFF"/>
      <rgbColor rgb="FF800080"/>
      <rgbColor rgb="FF800000"/>
      <rgbColor rgb="FF156082"/>
      <rgbColor rgb="FF0000FF"/>
      <rgbColor rgb="FF00CCFF"/>
      <rgbColor rgb="FFDBEAFE"/>
      <rgbColor rgb="FFC6EFCE"/>
      <rgbColor rgb="FFFEF3C7"/>
      <rgbColor rgb="FFD0D0D0"/>
      <rgbColor rgb="FFFEE2E2"/>
      <rgbColor rgb="FFD9D9D9"/>
      <rgbColor rgb="FFFFC7CE"/>
      <rgbColor rgb="FF3366FF"/>
      <rgbColor rgb="FF33CCCC"/>
      <rgbColor rgb="FF99CC00"/>
      <rgbColor rgb="FFFCE4D6"/>
      <rgbColor rgb="FFFF9900"/>
      <rgbColor rgb="FFE97132"/>
      <rgbColor rgb="FF6B7280"/>
      <rgbColor rgb="FFDDEBF7"/>
      <rgbColor rgb="FF14532D"/>
      <rgbColor rgb="FF339966"/>
      <rgbColor rgb="FF111827"/>
      <rgbColor rgb="FF374151"/>
      <rgbColor rgb="FF7C2D12"/>
      <rgbColor rgb="FF993366"/>
      <rgbColor rgb="FF4C1D95"/>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Rows by cluster</a:t>
            </a:r>
          </a:p>
        </rich>
      </tx>
    </title>
    <plotArea>
      <barChart>
        <barDir val="bar"/>
        <grouping val="clustered"/>
        <ser>
          <idx val="0"/>
          <order val="0"/>
          <tx>
            <strRef>
              <f>'Dashboard'!C7</f>
            </strRef>
          </tx>
          <spPr>
            <a:ln xmlns:a="http://schemas.openxmlformats.org/drawingml/2006/main">
              <a:prstDash val="solid"/>
            </a:ln>
          </spPr>
          <cat>
            <numRef>
              <f>'Dashboard'!$A$8:$A$25</f>
            </numRef>
          </cat>
          <val>
            <numRef>
              <f>'Dashboard'!$C$8:$C$25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Rows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Cluster</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17</row>
      <rowOff>0</rowOff>
    </from>
    <ext cx="486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MythMatrixTable" displayName="MythMatrixTable" ref="A1:AG85" headerRowCount="1">
  <autoFilter ref="A1:AG85"/>
  <tableColumns count="33">
    <tableColumn id="1" name="ID"/>
    <tableColumn id="2" name="Cluster ID"/>
    <tableColumn id="3" name="Cluster Name"/>
    <tableColumn id="4" name="Sub-type / Capture Mode"/>
    <tableColumn id="5" name="Tradition / Region"/>
    <tableColumn id="6" name="Figure / Myth"/>
    <tableColumn id="7" name="Surface Story"/>
    <tableColumn id="8" name="Monkey-Politics Read"/>
    <tableColumn id="9" name="Priesthood-Function Move"/>
    <tableColumn id="10" name="Remainder / What Survives"/>
    <tableColumn id="11" name="Primary Parallels"/>
    <tableColumn id="12" name="Confidence Tier"/>
    <tableColumn id="13" name="Verification Status"/>
    <tableColumn id="14" name="Notes / Warnings"/>
    <tableColumn id="15" name="Source Anchor"/>
    <tableColumn id="16" name="Primary Text / Artifact to Verify"/>
    <tableColumn id="17" name="Passage / Lines Needed"/>
    <tableColumn id="18" name="Secondary Scholarship Lead"/>
    <tableColumn id="19" name="Model Review Prompt"/>
    <tableColumn id="20" name="Model Notes"/>
    <tableColumn id="21" name="Overclaim Risk"/>
    <tableColumn id="22" name="Next Action"/>
    <tableColumn id="23" name="Source URL / Citation"/>
    <tableColumn id="24" name="Last Reviewed"/>
    <tableColumn id="25" name="Motif Evidence Tier"/>
    <tableColumn id="26" name="Interpretation Tier"/>
    <tableColumn id="27" name="Row Status"/>
    <tableColumn id="28" name="Predicted-But-Absent (frame test)"/>
    <tableColumn id="29" name="Fit Verdict"/>
    <tableColumn id="30" name="Strongest Counter-Reading"/>
    <tableColumn id="31" name="Evidence Mode"/>
    <tableColumn id="32" name="Adaptation Boundary / Project Invention"/>
    <tableColumn id="33" name="Secondary Cluster(s)"/>
  </tableColumns>
</table>
</file>

<file path=xl/tables/table2.xml><?xml version="1.0" encoding="utf-8"?>
<table xmlns="http://schemas.openxmlformats.org/spreadsheetml/2006/main" id="2" name="ClusterLegendTable" displayName="ClusterLegendTable" ref="A1:E19" headerRowCount="1">
  <autoFilter ref="A1:E19"/>
  <tableColumns count="5">
    <tableColumn id="1" name="Cluster ID"/>
    <tableColumn id="2" name="Cluster Name"/>
    <tableColumn id="3" name="Core Diagnostic"/>
    <tableColumn id="4" name="Primary Risk"/>
    <tableColumn id="5" name="Starter Comparators"/>
  </tableColumns>
</table>
</file>

<file path=xl/tables/table3.xml><?xml version="1.0" encoding="utf-8"?>
<table xmlns="http://schemas.openxmlformats.org/spreadsheetml/2006/main" id="3" name="SourcesTable" displayName="SourcesTable" ref="A1:D8" headerRowCount="1">
  <autoFilter ref="A1:D8"/>
  <tableColumns count="4">
    <tableColumn id="1" name="Source Key"/>
    <tableColumn id="2" name="Source / File"/>
    <tableColumn id="3" name="Role in Workbook"/>
    <tableColumn id="4" name="Plain-text citation note"/>
  </tableColumns>
</table>
</file>

<file path=xl/tables/table4.xml><?xml version="1.0" encoding="utf-8"?>
<table xmlns="http://schemas.openxmlformats.org/spreadsheetml/2006/main" id="4" name="MonkeyMythMatrix—OperatiTable" displayName="MonkeyMythMatrix—OperatiTable" ref="A2:B9" headerRowCount="1" totalsRowCount="0" totalsRowShown="0">
  <tableColumns count="2">
    <tableColumn id="1" name="Section"/>
    <tableColumn id="2" name="Working Rule"/>
  </tableColumns>
</table>
</file>

<file path=xl/tables/table5.xml><?xml version="1.0" encoding="utf-8"?>
<table xmlns="http://schemas.openxmlformats.org/spreadsheetml/2006/main" id="5" name="HowToUseTable" displayName="HowToUseTable" ref="A2:B10" headerRowCount="1">
  <autoFilter ref="A2:B10"/>
  <tableColumns count="2">
    <tableColumn id="1" name="Section"/>
    <tableColumn id="2" name="Working Rule"/>
  </tableColumns>
</table>
</file>

<file path=xl/tables/table6.xml><?xml version="1.0" encoding="utf-8"?>
<table xmlns="http://schemas.openxmlformats.org/spreadsheetml/2006/main" id="6" name="ModelRunPromptsTable" displayName="ModelRunPromptsTable" ref="A2:E11" headerRowCount="1">
  <autoFilter ref="A2:E11"/>
  <tableColumns count="5">
    <tableColumn id="1" name="Prompt ID"/>
    <tableColumn id="2" name="Use Case"/>
    <tableColumn id="3" name="Copy / Paste Prompt"/>
    <tableColumn id="4" name="Expected Return"/>
    <tableColumn id="5" name="Guardrail"/>
  </tableColumns>
</table>
</file>

<file path=xl/tables/table7.xml><?xml version="1.0" encoding="utf-8"?>
<table xmlns="http://schemas.openxmlformats.org/spreadsheetml/2006/main" id="7" name="SourcePassQueueTable" displayName="SourcePassQueueTable" ref="A2:H19" headerRowCount="1">
  <autoFilter ref="A2:H19"/>
  <tableColumns count="8">
    <tableColumn id="1" name="Priority"/>
    <tableColumn id="2" name="Rows / Cluster"/>
    <tableColumn id="3" name="Tradition"/>
    <tableColumn id="4" name="Figure(s)"/>
    <tableColumn id="5" name="Primary Text / Artifact Lead"/>
    <tableColumn id="6" name="What to Verify"/>
    <tableColumn id="7" name="Risk / Note"/>
    <tableColumn id="8" name="Source URL / Citation"/>
  </tableColumns>
</table>
</file>

<file path=xl/tables/table8.xml><?xml version="1.0" encoding="utf-8"?>
<table xmlns="http://schemas.openxmlformats.org/spreadsheetml/2006/main" id="8" name="ClusterBuildSheetTable" displayName="ClusterBuildSheetTable" ref="A2:G20" headerRowCount="1">
  <autoFilter ref="A2:G20"/>
  <tableColumns count="7">
    <tableColumn id="1" name="Cluster ID"/>
    <tableColumn id="2" name="Cluster Name"/>
    <tableColumn id="3" name="Core Function"/>
    <tableColumn id="4" name="Current Candidate Figures"/>
    <tableColumn id="5" name="Diagnostic Markers"/>
    <tableColumn id="6" name="Question to Ask"/>
    <tableColumn id="7" name="Priority"/>
  </tableColumns>
</table>
</file>

<file path=xl/tables/table9.xml><?xml version="1.0" encoding="utf-8"?>
<table xmlns="http://schemas.openxmlformats.org/spreadsheetml/2006/main" id="9" name="RegionalLanesTable" displayName="RegionalLanesTable" ref="A2:F14" headerRowCount="1">
  <autoFilter ref="A2:F14"/>
  <tableColumns count="6">
    <tableColumn id="1" name="Region / Tradition Lane"/>
    <tableColumn id="2" name="Transmission Type"/>
    <tableColumn id="3" name="Initial Figures / Texts"/>
    <tableColumn id="4" name="Likely Pattern Clusters"/>
    <tableColumn id="5" name="Priority"/>
    <tableColumn id="6" name="Source Hazard"/>
  </tableColumns>
</table>
</file>

<file path=xl/tables/table10.xml><?xml version="1.0" encoding="utf-8"?>
<table xmlns="http://schemas.openxmlformats.org/spreadsheetml/2006/main" id="10" name="ModelReviewLogTable" displayName="ModelReviewLogTable" ref="A2:I4" headerRowCount="1">
  <autoFilter ref="A2:I4"/>
  <tableColumns count="9">
    <tableColumn id="1" name="Date"/>
    <tableColumn id="2" name="Model"/>
    <tableColumn id="3" name="Prompt ID"/>
    <tableColumn id="4" name="Target Rows / Cluster"/>
    <tableColumn id="5" name="Run Summary"/>
    <tableColumn id="6" name="Contradictions / Artifacts"/>
    <tableColumn id="7" name="Rows to Add / Remove"/>
    <tableColumn id="8" name="Source Leads"/>
    <tableColumn id="9" name="Statu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www.perseus.tufts.edu/hopper/text?doc=Perseus%3Atext%3A1999.02.0029%3Abook%3D3" TargetMode="External" Id="rId1"/><Relationship Type="http://schemas.openxmlformats.org/officeDocument/2006/relationships/hyperlink" Target="https://www.theoi.com/Text/AeschylusAgamemnon.html" TargetMode="External" Id="rId2"/><Relationship Type="http://schemas.openxmlformats.org/officeDocument/2006/relationships/hyperlink" Target="https://etcsl.orinst.ox.ac.uk/section1/tr1823.htm" TargetMode="External" Id="rId3"/><Relationship Type="http://schemas.openxmlformats.org/officeDocument/2006/relationships/hyperlink" Target="https://www.sefaria.org/Jeremiah.36?lang=bi" TargetMode="External" Id="rId4"/><Relationship Type="http://schemas.openxmlformats.org/officeDocument/2006/relationships/hyperlink" Target="https://rigveda-online.github.io/10/125.html" TargetMode="External" Id="rId5"/><Relationship Type="http://schemas.openxmlformats.org/officeDocument/2006/relationships/hyperlink" Target="https://www.perseus.tufts.edu/hopper/text?doc=Perseus%3Atext%3A1999.01.0126%3Abook%3D6%3Achapter%3D105" TargetMode="External" Id="rId6"/><Relationship Type="http://schemas.openxmlformats.org/officeDocument/2006/relationships/hyperlink" Target="https://en.wikisource.org/wiki/Daphnis_and_Chloe_%28Thornley_translation%29/Book_3" TargetMode="External" Id="rId7"/><Relationship Type="http://schemas.openxmlformats.org/officeDocument/2006/relationships/hyperlink" Target="https://chs.harvard.edu/primary-source/hesiod-works-and-days-sb/" TargetMode="External" Id="rId8"/><Relationship Type="http://schemas.openxmlformats.org/officeDocument/2006/relationships/hyperlink" Target="https://chs.harvard.edu/primary-source/hesiod-theogony-sb/" TargetMode="External" Id="rId9"/><Relationship Type="http://schemas.openxmlformats.org/officeDocument/2006/relationships/hyperlink" Target="https://www.perseus.tufts.edu/hopper/text?doc=Perseus%3Atext%3A1999.01.0134%3Abook%3D14" TargetMode="External" Id="rId10"/><Relationship Type="http://schemas.openxmlformats.org/officeDocument/2006/relationships/hyperlink" Target="https://etcsl.orinst.ox.ac.uk/section1/tr141.htm" TargetMode="External" Id="rId11"/><Relationship Type="http://schemas.openxmlformats.org/officeDocument/2006/relationships/hyperlink" Target="https://ctext.org/xiyouji/ch3" TargetMode="External" Id="rId12"/><Relationship Type="http://schemas.openxmlformats.org/officeDocument/2006/relationships/hyperlink" Target="https://www.britishmuseum.org/learn/schools/ages-7-11/ancient-egypt/journey-afterlife" TargetMode="External" Id="rId13"/><Relationship Type="http://schemas.openxmlformats.org/officeDocument/2006/relationships/hyperlink" Target="https://kojiki.kokugakuin.ac.jp/kojiki-en/" TargetMode="External" Id="rId14"/><Relationship Type="http://schemas.openxmlformats.org/officeDocument/2006/relationships/hyperlink" Target="https://www.theoi.com/Text/OvidFasti1.html" TargetMode="External" Id="rId15"/><Relationship Type="http://schemas.openxmlformats.org/officeDocument/2006/relationships/hyperlink" Target="https://chs.harvard.edu/primary-source/homeric-hymn-to-demeter-sb/" TargetMode="External" Id="rId16"/><Relationship Type="http://schemas.openxmlformats.org/officeDocument/2006/relationships/hyperlink" Target="https://www.perseus.tufts.edu/hopper/text?doc=Perseus%3Atext%3A1999.01.0218%3Abook%3D24" TargetMode="External" Id="rId17"/><Relationship Type="http://schemas.openxmlformats.org/officeDocument/2006/relationships/hyperlink" Target="https://en.wikisource.org/wiki/Page%3AThe_Prose_Edda_%281916_translation_by_Arthur_Gilchrist_Brodeur%29.pdf/72" TargetMode="External" Id="rId18"/><Relationship Type="http://schemas.openxmlformats.org/officeDocument/2006/relationships/hyperlink" Target="https://anthony.sogang.ac.kr/CompLit/JourneyWest.pdf" TargetMode="External" Id="rId19"/><Relationship Type="http://schemas.openxmlformats.org/officeDocument/2006/relationships/hyperlink" Target="https://chs.harvard.edu/primary-source/aeschylus-eumenides-sb/" TargetMode="External" Id="rId20"/><Relationship Type="http://schemas.openxmlformats.org/officeDocument/2006/relationships/hyperlink" Target="https://en.wikisource.org/wiki/Page%3AThe_Mahabharata_of_Krishna-Dwaipayana_Vyasa_%281884%29.djvu/440" TargetMode="External" Id="rId21"/><Relationship Type="http://schemas.openxmlformats.org/officeDocument/2006/relationships/hyperlink" Target="https://www.sefaria.org/Daniel.2.48?lang=bi" TargetMode="External" Id="rId22"/><Relationship Type="http://schemas.openxmlformats.org/officeDocument/2006/relationships/hyperlink" Target="https://www.sefaria.org/Genesis.41.39?lang=bi" TargetMode="External" Id="rId23"/><Relationship Type="http://schemas.openxmlformats.org/officeDocument/2006/relationships/hyperlink" Target="https://chs.harvard.edu/primary-source/homeric-hymn-to-demeter-sb/" TargetMode="External" Id="rId24"/><Relationship Type="http://schemas.openxmlformats.org/officeDocument/2006/relationships/table" Target="/xl/tables/table1.xml" Id="rId25"/></Relationships>
</file>

<file path=xl/worksheets/_rels/sheet10.xml.rels><Relationships xmlns="http://schemas.openxmlformats.org/package/2006/relationships"><Relationship Type="http://schemas.openxmlformats.org/officeDocument/2006/relationships/table" Target="/xl/tables/table2.xml" Id="rId1"/></Relationships>
</file>

<file path=xl/worksheets/_rels/sheet12.xml.rels><Relationships xmlns="http://schemas.openxmlformats.org/package/2006/relationships"><Relationship Type="http://schemas.openxmlformats.org/officeDocument/2006/relationships/table" Target="/xl/tables/table3.xml" Id="rId1"/></Relationships>
</file>

<file path=xl/worksheets/_rels/sheet13.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s>
</file>

<file path=xl/worksheets/_rels/sheet14.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_rels/sheet16.xml.rels><Relationships xmlns="http://schemas.openxmlformats.org/package/2006/relationships"><Relationship Type="http://schemas.openxmlformats.org/officeDocument/2006/relationships/table" Target="/xl/tables/table8.xml" Id="rId1"/></Relationships>
</file>

<file path=xl/worksheets/_rels/sheet17.xml.rels><Relationships xmlns="http://schemas.openxmlformats.org/package/2006/relationships"><Relationship Type="http://schemas.openxmlformats.org/officeDocument/2006/relationships/table" Target="/xl/tables/table9.xml" Id="rId1"/></Relationships>
</file>

<file path=xl/worksheets/_rels/sheet18.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filterMode="0">
    <outlinePr summaryBelow="1" summaryRight="1"/>
    <pageSetUpPr fitToPage="0"/>
  </sheetPr>
  <dimension ref="A1:F93"/>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60" min="1" max="1"/>
    <col width="42" customWidth="1" style="60" min="2" max="2"/>
    <col width="9" customWidth="1" style="60" min="3" max="3"/>
    <col width="15" customWidth="1" style="60" min="4" max="4"/>
    <col width="26" customWidth="1" style="60" min="5" max="5"/>
    <col width="44" customWidth="1" style="60" min="6" max="6"/>
  </cols>
  <sheetData>
    <row r="1" ht="19.5" customHeight="1" s="61">
      <c r="A1" s="62" t="inlineStr">
        <is>
          <t>Monkey-Myth Matrix — Index &amp; Reconciliation Map</t>
        </is>
      </c>
    </row>
    <row r="2" ht="15" customHeight="1" s="61">
      <c r="A2" s="63" t="inlineStr">
        <is>
          <t>Spine (essays) &lt;-&gt; Matrix (rows) crosswalk · what's built vs. what the essays promise · what's owed next</t>
        </is>
      </c>
    </row>
    <row r="3" ht="15" customHeight="1" s="61">
      <c r="A3" s="63" t="inlineStr">
        <is>
          <t>Reference map, updated 2026-08-18. Cluster + tier counts are live formulas. Now 84 rows / 18 active codes: 17 evidence clusters plus the AD-01 methodology lens. v0.21 adds an explicit evidence/adaptation boundary.</t>
        </is>
      </c>
    </row>
    <row r="5" ht="19.5" customHeight="1" s="61">
      <c r="A5" s="64" t="inlineStr">
        <is>
          <t>1 · The three layers</t>
        </is>
      </c>
    </row>
    <row r="6" ht="15" customHeight="1" s="61">
      <c r="A6" s="65" t="inlineStr">
        <is>
          <t>Layer</t>
        </is>
      </c>
      <c r="B6" s="65" t="inlineStr">
        <is>
          <t>Source document(s)</t>
        </is>
      </c>
      <c r="C6" s="65" t="n"/>
      <c r="D6" s="65" t="inlineStr">
        <is>
          <t>Holds</t>
        </is>
      </c>
      <c r="E6" s="65" t="n"/>
      <c r="F6" s="65" t="n"/>
    </row>
    <row r="7" ht="15" customHeight="1" s="61">
      <c r="A7" s="66" t="inlineStr">
        <is>
          <t>Doctrine</t>
        </is>
      </c>
      <c r="B7" s="67" t="inlineStr">
        <is>
          <t>Handoff Packet</t>
        </is>
      </c>
      <c r="C7" s="68" t="n"/>
      <c r="D7" s="69" t="inlineStr">
        <is>
          <t>Guardrails; confidence tiers (1 / 2 / 3); model failure-mode list; build steps; keeper lines. The operating manual.</t>
        </is>
      </c>
      <c r="E7" s="70" t="n"/>
      <c r="F7" s="70" t="n"/>
    </row>
    <row r="8" ht="23.25" customHeight="1" s="61">
      <c r="A8" s="66" t="inlineStr">
        <is>
          <t>Spine</t>
        </is>
      </c>
      <c r="B8" s="67" t="inlineStr">
        <is>
          <t>MFM + Priesthood-Function (both CC0)</t>
        </is>
      </c>
      <c r="C8" s="68" t="n"/>
      <c r="D8" s="69" t="inlineStr">
        <is>
          <t>Foundational lens; the bulk of Tier 1-2 readings; the Tier-3 speculative branches; the mechanism vocabulary. Richer than the matrix.</t>
        </is>
      </c>
      <c r="E8" s="70" t="n"/>
      <c r="F8" s="70" t="n"/>
    </row>
    <row r="9" ht="23.25" customHeight="1" s="61">
      <c r="A9" s="66" t="inlineStr">
        <is>
          <t>Matrix</t>
        </is>
      </c>
      <c r="B9" s="67" t="inlineStr">
        <is>
          <t>This workbook (12 data/scaffold sheets)</t>
        </is>
      </c>
      <c r="C9" s="68" t="n"/>
      <c r="D9" s="69" t="inlineStr">
        <is>
          <t>84 rows across 17 evidence clusters + AD-01 methodology lens; 18 sheets including Story Bridge, source queues, prompts, validation, and change logs.</t>
        </is>
      </c>
      <c r="E9" s="70" t="n"/>
      <c r="F9" s="70" t="n"/>
    </row>
    <row r="11" ht="19.5" customHeight="1" s="61">
      <c r="A11" s="64" t="inlineStr">
        <is>
          <t>2 · Spine -&gt; Matrix crosswalk  (every essay section, where it lives, what's owed)</t>
        </is>
      </c>
    </row>
    <row r="12" ht="15" customHeight="1" s="61">
      <c r="A12" s="65" t="inlineStr">
        <is>
          <t>Spine ref</t>
        </is>
      </c>
      <c r="B12" s="65" t="inlineStr">
        <is>
          <t>Covers</t>
        </is>
      </c>
      <c r="C12" s="65" t="inlineStr">
        <is>
          <t>Tier</t>
        </is>
      </c>
      <c r="D12" s="65" t="inlineStr">
        <is>
          <t>Cluster(s)</t>
        </is>
      </c>
      <c r="E12" s="65" t="inlineStr">
        <is>
          <t>Rows present</t>
        </is>
      </c>
      <c r="F12" s="65" t="inlineStr">
        <is>
          <t>Status / what's owed</t>
        </is>
      </c>
    </row>
    <row r="13" ht="23.25" customHeight="1" s="61">
      <c r="A13" s="66" t="inlineStr">
        <is>
          <t>MFM §1-3, 3A</t>
        </is>
      </c>
      <c r="B13" s="67" t="inlineStr">
        <is>
          <t>Thesis; monkey-politics lens; myth as processed memory; drift mechanics</t>
        </is>
      </c>
      <c r="C13" s="67" t="inlineStr">
        <is>
          <t>1-2</t>
        </is>
      </c>
      <c r="D13" s="67" t="inlineStr">
        <is>
          <t>lens / method</t>
        </is>
      </c>
      <c r="E13" s="67" t="inlineStr">
        <is>
          <t>—</t>
        </is>
      </c>
      <c r="F13" s="67" t="inlineStr">
        <is>
          <t>Doctrine &amp; method, not rows.</t>
        </is>
      </c>
    </row>
    <row r="14" ht="23.25" customHeight="1" s="61">
      <c r="A14" s="66" t="inlineStr">
        <is>
          <t>MFM §4</t>
        </is>
      </c>
      <c r="B14" s="67" t="inlineStr">
        <is>
          <t>Labor revolt: Atrahasis (Igigi revolt -&gt; human worker)</t>
        </is>
      </c>
      <c r="C14" s="67" t="inlineStr">
        <is>
          <t>1</t>
        </is>
      </c>
      <c r="D14" s="67" t="inlineStr">
        <is>
          <t>FM-01, RF-01, TR-01</t>
        </is>
      </c>
      <c r="E14" s="67" t="inlineStr">
        <is>
          <t>FM-001, TR-001</t>
        </is>
      </c>
      <c r="F14" s="71" t="inlineStr">
        <is>
          <t>Atrahasis sits in as a FLOOD row; the labor-revolt angle has no dedicated row. OWED.</t>
        </is>
      </c>
    </row>
    <row r="15" ht="15" customHeight="1" s="61">
      <c r="A15" s="66" t="inlineStr">
        <is>
          <t>MFM §5</t>
        </is>
      </c>
      <c r="B15" s="67" t="inlineStr">
        <is>
          <t>Watchers / Nephilim / hybrid anxiety</t>
        </is>
      </c>
      <c r="C15" s="67" t="inlineStr">
        <is>
          <t>2</t>
        </is>
      </c>
      <c r="D15" s="67" t="inlineStr">
        <is>
          <t>RF-01</t>
        </is>
      </c>
      <c r="E15" s="67" t="inlineStr">
        <is>
          <t>RF-003</t>
        </is>
      </c>
      <c r="F15" s="67" t="inlineStr">
        <is>
          <t>Built.</t>
        </is>
      </c>
    </row>
    <row r="16" ht="15" customHeight="1" s="61">
      <c r="A16" s="66" t="inlineStr">
        <is>
          <t>MFM §5A</t>
        </is>
      </c>
      <c r="B16" s="67" t="inlineStr">
        <is>
          <t>The smith &amp; technology taboo</t>
        </is>
      </c>
      <c r="C16" s="67" t="inlineStr">
        <is>
          <t>2</t>
        </is>
      </c>
      <c r="D16" s="67" t="inlineStr">
        <is>
          <t>RF-01</t>
        </is>
      </c>
      <c r="E16" s="67" t="inlineStr">
        <is>
          <t>RF-002, RF-003, RF-006, RF-007, RF-008</t>
        </is>
      </c>
      <c r="F16" s="71" t="inlineStr">
        <is>
          <t>BUILT - Hephaestus + Wayland (captured-maker pole), Tubal-Cain (technology-taboo pole) added this pass</t>
        </is>
      </c>
    </row>
    <row r="17" ht="23.25" customHeight="1" s="61">
      <c r="A17" s="66" t="inlineStr">
        <is>
          <t>MFM §6</t>
        </is>
      </c>
      <c r="B17" s="67" t="inlineStr">
        <is>
          <t>Succession: gods as ruling houses</t>
        </is>
      </c>
      <c r="C17" s="67" t="inlineStr">
        <is>
          <t>1-2</t>
        </is>
      </c>
      <c r="D17" s="67" t="inlineStr">
        <is>
          <t>SC-01, OO-01</t>
        </is>
      </c>
      <c r="E17" s="67" t="inlineStr">
        <is>
          <t>SC-001/002/003</t>
        </is>
      </c>
      <c r="F17" s="71" t="inlineStr">
        <is>
          <t>OWED: divine-succession cycle (Uranus/Cronus/Zeus, Kumarbi).</t>
        </is>
      </c>
    </row>
    <row r="18" ht="15" customHeight="1" s="61">
      <c r="A18" s="66" t="inlineStr">
        <is>
          <t>MFM §6A</t>
        </is>
      </c>
      <c r="B18" s="67" t="inlineStr">
        <is>
          <t>Sacred geography: property law with incense</t>
        </is>
      </c>
      <c r="C18" s="67" t="inlineStr">
        <is>
          <t>2</t>
        </is>
      </c>
      <c r="D18" s="67" t="inlineStr">
        <is>
          <t>SG-01</t>
        </is>
      </c>
      <c r="E18" s="67" t="inlineStr">
        <is>
          <t>SG-001</t>
        </is>
      </c>
      <c r="F18" s="71" t="inlineStr">
        <is>
          <t>Thinnest cluster (1 row). OWED: more land-claim rows.</t>
        </is>
      </c>
    </row>
    <row r="19" ht="23.25" customHeight="1" s="61">
      <c r="A19" s="66" t="inlineStr">
        <is>
          <t>MFM §6B</t>
        </is>
      </c>
      <c r="B19" s="67" t="inlineStr">
        <is>
          <t>Scapegoat engine (Girard, contested)</t>
        </is>
      </c>
      <c r="C19" s="67" t="inlineStr">
        <is>
          <t>2</t>
        </is>
      </c>
      <c r="D19" s="67" t="inlineStr">
        <is>
          <t>SC-01</t>
        </is>
      </c>
      <c r="E19" s="67" t="inlineStr">
        <is>
          <t>(mechanism behind SC)</t>
        </is>
      </c>
      <c r="F19" s="67" t="inlineStr">
        <is>
          <t>The motor under SC-01. Caveat: mimetic theory is literary, not primatology.</t>
        </is>
      </c>
    </row>
    <row r="20" ht="15" customHeight="1" s="61">
      <c r="A20" s="66" t="inlineStr">
        <is>
          <t>MFM §7</t>
        </is>
      </c>
      <c r="B20" s="67" t="inlineStr">
        <is>
          <t>Narrative heist: Atrahasis -&gt; Marduk</t>
        </is>
      </c>
      <c r="C20" s="67" t="inlineStr">
        <is>
          <t>1-2</t>
        </is>
      </c>
      <c r="D20" s="67" t="inlineStr">
        <is>
          <t>PB-01, OO-01</t>
        </is>
      </c>
      <c r="E20" s="67" t="inlineStr">
        <is>
          <t>PB-001, OO-001</t>
        </is>
      </c>
      <c r="F20" s="67" t="inlineStr">
        <is>
          <t>Core anchor. Built &amp; strong.</t>
        </is>
      </c>
    </row>
    <row r="21" ht="23.25" customHeight="1" s="61">
      <c r="A21" s="66" t="inlineStr">
        <is>
          <t>MFM §7A</t>
        </is>
      </c>
      <c r="B21" s="67" t="inlineStr">
        <is>
          <t>Covenant as vassal treaty (Hittite -&gt; biblical)</t>
        </is>
      </c>
      <c r="C21" s="67" t="inlineStr">
        <is>
          <t>1-2</t>
        </is>
      </c>
      <c r="D21" s="67" t="inlineStr">
        <is>
          <t>CC-01</t>
        </is>
      </c>
      <c r="E21" s="67" t="inlineStr">
        <is>
          <t>CC-001</t>
        </is>
      </c>
      <c r="F21" s="72" t="inlineStr">
        <is>
          <t>DONE — founding row of CC-01. Tier 1 (form) / Tier 2 (capture-reading &amp; dating).</t>
        </is>
      </c>
    </row>
    <row r="22" ht="34.5" customHeight="1" s="61">
      <c r="A22" s="66" t="inlineStr">
        <is>
          <t>MFM §8</t>
        </is>
      </c>
      <c r="B22" s="67" t="inlineStr">
        <is>
          <t>The feminine under capture (demonize / split)</t>
        </is>
      </c>
      <c r="C22" s="67" t="inlineStr">
        <is>
          <t>2</t>
        </is>
      </c>
      <c r="D22" s="67" t="inlineStr">
        <is>
          <t>DF-01</t>
        </is>
      </c>
      <c r="E22" s="67" t="inlineStr">
        <is>
          <t>DF-001..005</t>
        </is>
      </c>
      <c r="F22" s="67" t="inlineStr">
        <is>
          <t>Built — now the DEMONIZED/split figures only (Tiamat, Lamashtu, Lilith, Medusa, Coyolxauhqui). Co-opted ones moved to UF-01.</t>
        </is>
      </c>
    </row>
    <row r="23" ht="34.5" customHeight="1" s="61">
      <c r="A23" s="66" t="inlineStr">
        <is>
          <t>MFM §9</t>
        </is>
      </c>
      <c r="B23" s="67" t="inlineStr">
        <is>
          <t>Inanna/Ishtar/Kali — 'furnace with a face'</t>
        </is>
      </c>
      <c r="C23" s="67" t="inlineStr">
        <is>
          <t>1-2</t>
        </is>
      </c>
      <c r="D23" s="67" t="inlineStr">
        <is>
          <t>UF-01</t>
        </is>
      </c>
      <c r="E23" s="67" t="inlineStr">
        <is>
          <t>UF-001 - UF-006</t>
        </is>
      </c>
      <c r="F23" s="72" t="inlineStr">
        <is>
          <t>DONE - UF-01 now holds 6: Inanna, Kali, Athena, Durga, Sekhmet, Cybele across all 3 sub-types</t>
        </is>
      </c>
    </row>
    <row r="24" ht="15" customHeight="1" s="61">
      <c r="A24" s="66" t="inlineStr">
        <is>
          <t>MFM §10</t>
        </is>
      </c>
      <c r="B24" s="67" t="inlineStr">
        <is>
          <t>Lamashtu &amp; Pazuzu: demon against demon</t>
        </is>
      </c>
      <c r="C24" s="67" t="inlineStr">
        <is>
          <t>1-2</t>
        </is>
      </c>
      <c r="D24" s="67" t="inlineStr">
        <is>
          <t>DF-01, BW-01</t>
        </is>
      </c>
      <c r="E24" s="67" t="inlineStr">
        <is>
          <t>DF-002, BW-001</t>
        </is>
      </c>
      <c r="F24" s="67" t="inlineStr">
        <is>
          <t>Built.</t>
        </is>
      </c>
    </row>
    <row r="25" ht="23.25" customHeight="1" s="61">
      <c r="A25" s="66" t="inlineStr">
        <is>
          <t>MFM §10A</t>
        </is>
      </c>
      <c r="B25" s="67" t="inlineStr">
        <is>
          <t>Monster taxonomy (Cyclops, Minotaur, Hydra, Sirens, Grendel, vampire)</t>
        </is>
      </c>
      <c r="C25" s="67" t="inlineStr">
        <is>
          <t>3</t>
        </is>
      </c>
      <c r="D25" s="67" t="inlineStr">
        <is>
          <t>(none)</t>
        </is>
      </c>
      <c r="E25" s="67" t="inlineStr">
        <is>
          <t>—</t>
        </is>
      </c>
      <c r="F25" s="71" t="inlineStr">
        <is>
          <t>OWED + HOMELESS. Needs a Tier-3 container (proposed MT-01).</t>
        </is>
      </c>
    </row>
    <row r="26" ht="15" customHeight="1" s="61">
      <c r="A26" s="66" t="inlineStr">
        <is>
          <t>MFM §11</t>
        </is>
      </c>
      <c r="B26" s="67" t="inlineStr">
        <is>
          <t>Flood memory</t>
        </is>
      </c>
      <c r="C26" s="67" t="inlineStr">
        <is>
          <t>1</t>
        </is>
      </c>
      <c r="D26" s="67" t="inlineStr">
        <is>
          <t>FM-01</t>
        </is>
      </c>
      <c r="E26" s="67" t="inlineStr">
        <is>
          <t>FM-001/002/003</t>
        </is>
      </c>
      <c r="F26" s="67" t="inlineStr">
        <is>
          <t>Built.</t>
        </is>
      </c>
    </row>
    <row r="27" ht="23.25" customHeight="1" s="61">
      <c r="A27" s="66" t="inlineStr">
        <is>
          <t>MFM §12</t>
        </is>
      </c>
      <c r="B27" s="67" t="inlineStr">
        <is>
          <t>Myth phylogeny / deep time (Witzel, d'Huy, Berezkin)</t>
        </is>
      </c>
      <c r="C27" s="67" t="inlineStr">
        <is>
          <t>2-3</t>
        </is>
      </c>
      <c r="D27" s="67" t="inlineStr">
        <is>
          <t>method</t>
        </is>
      </c>
      <c r="E27" s="67" t="inlineStr">
        <is>
          <t>—</t>
        </is>
      </c>
      <c r="F27" s="67" t="inlineStr">
        <is>
          <t>Comparative-method scholarship; caution layer for deep-time claims.</t>
        </is>
      </c>
    </row>
    <row r="28" ht="15" customHeight="1" s="61">
      <c r="A28" s="66" t="inlineStr">
        <is>
          <t>MFM §13</t>
        </is>
      </c>
      <c r="B28" s="67" t="inlineStr">
        <is>
          <t>Body paint / the marked other</t>
        </is>
      </c>
      <c r="C28" s="67" t="inlineStr">
        <is>
          <t>2-3</t>
        </is>
      </c>
      <c r="D28" s="67" t="inlineStr">
        <is>
          <t>(none)</t>
        </is>
      </c>
      <c r="E28" s="67" t="inlineStr">
        <is>
          <t>—</t>
        </is>
      </c>
      <c r="F28" s="71" t="inlineStr">
        <is>
          <t>OWED + HOMELESS. Tier-3 / quarantine.</t>
        </is>
      </c>
    </row>
    <row r="29" ht="23.25" customHeight="1" s="61">
      <c r="A29" s="66" t="inlineStr">
        <is>
          <t>MFM §14</t>
        </is>
      </c>
      <c r="B29" s="67" t="inlineStr">
        <is>
          <t>Cousin-monkey extension</t>
        </is>
      </c>
      <c r="C29" s="67" t="inlineStr">
        <is>
          <t>3</t>
        </is>
      </c>
      <c r="D29" s="67" t="inlineStr">
        <is>
          <t>(none)</t>
        </is>
      </c>
      <c r="E29" s="67" t="inlineStr">
        <is>
          <t>—</t>
        </is>
      </c>
      <c r="F29" s="71" t="inlineStr">
        <is>
          <t>OWED + HOMELESS. Farthest rope bridge. Never load-bearing.</t>
        </is>
      </c>
    </row>
    <row r="30" ht="34.5" customHeight="1" s="61">
      <c r="A30" s="66" t="inlineStr">
        <is>
          <t>MFM §15</t>
        </is>
      </c>
      <c r="B30" s="67" t="inlineStr">
        <is>
          <t>Priesthood capture + failure modes</t>
        </is>
      </c>
      <c r="C30" s="67" t="inlineStr">
        <is>
          <t>1</t>
        </is>
      </c>
      <c r="D30" s="67" t="inlineStr">
        <is>
          <t>AD-01 + 'Priesthood-Function Move'</t>
        </is>
      </c>
      <c r="E30" s="67" t="inlineStr">
        <is>
          <t>AD-001/002</t>
        </is>
      </c>
      <c r="F30" s="67" t="inlineStr">
        <is>
          <t>Mechanism doctrine — source for the glossary (block 5).</t>
        </is>
      </c>
    </row>
    <row r="31" ht="15" customHeight="1" s="61">
      <c r="A31" s="66" t="inlineStr">
        <is>
          <t>MFM §16-17</t>
        </is>
      </c>
      <c r="B31" s="67" t="inlineStr">
        <is>
          <t>What the framework is not; final form</t>
        </is>
      </c>
      <c r="C31" s="67" t="inlineStr">
        <is>
          <t>—</t>
        </is>
      </c>
      <c r="D31" s="67" t="inlineStr">
        <is>
          <t>guardrails</t>
        </is>
      </c>
      <c r="E31" s="67" t="inlineStr">
        <is>
          <t>—</t>
        </is>
      </c>
      <c r="F31" s="67" t="inlineStr">
        <is>
          <t>Doctrine.</t>
        </is>
      </c>
    </row>
    <row r="32" ht="23.25" customHeight="1" s="61">
      <c r="A32" s="66" t="inlineStr">
        <is>
          <t>PF §1-6</t>
        </is>
      </c>
      <c r="B32" s="67" t="inlineStr">
        <is>
          <t>Capture/canonize/debt/enforce; heist; embedded remainder; black ledger; 12-vs-remainder</t>
        </is>
      </c>
      <c r="C32" s="67" t="inlineStr">
        <is>
          <t>1</t>
        </is>
      </c>
      <c r="D32" s="67" t="inlineStr">
        <is>
          <t>AD-01 + CC-01 + verbs</t>
        </is>
      </c>
      <c r="E32" s="67" t="inlineStr">
        <is>
          <t>—</t>
        </is>
      </c>
      <c r="F32" s="67" t="inlineStr">
        <is>
          <t>Mechanism spine; defines the column verbs and seeds CC-01.</t>
        </is>
      </c>
    </row>
    <row r="33" ht="23.25" customHeight="1" s="61">
      <c r="A33" s="66" t="inlineStr">
        <is>
          <t>PF Case 1</t>
        </is>
      </c>
      <c r="B33" s="67" t="inlineStr">
        <is>
          <t>Enuma Elish / Kingu-function</t>
        </is>
      </c>
      <c r="C33" s="67" t="inlineStr">
        <is>
          <t>1</t>
        </is>
      </c>
      <c r="D33" s="67" t="inlineStr">
        <is>
          <t>RF-01, PB-01, OO-01</t>
        </is>
      </c>
      <c r="E33" s="67" t="inlineStr">
        <is>
          <t>RF-001, PB-001, OO-001</t>
        </is>
      </c>
      <c r="F33" s="67" t="inlineStr">
        <is>
          <t>Built &amp; strong.</t>
        </is>
      </c>
    </row>
    <row r="34" ht="23.25" customHeight="1" s="61">
      <c r="A34" s="66" t="inlineStr">
        <is>
          <t>PF Case 2</t>
        </is>
      </c>
      <c r="B34" s="67" t="inlineStr">
        <is>
          <t>Pharisees / distributed remainder</t>
        </is>
      </c>
      <c r="C34" s="67" t="inlineStr">
        <is>
          <t>1</t>
        </is>
      </c>
      <c r="D34" s="67" t="inlineStr">
        <is>
          <t>DR-01</t>
        </is>
      </c>
      <c r="E34" s="67" t="inlineStr">
        <is>
          <t>DR-001, DR-002, DR-003</t>
        </is>
      </c>
      <c r="F34" s="71" t="inlineStr">
        <is>
          <t>BUILT - new cluster DR-01: Pharisees, Reformation, post-Buddha Sangha; the counterpoint to capture</t>
        </is>
      </c>
    </row>
    <row r="35" ht="15" customHeight="1" s="61">
      <c r="A35" s="66" t="inlineStr">
        <is>
          <t>PF Case 3</t>
        </is>
      </c>
      <c r="B35" s="67" t="inlineStr">
        <is>
          <t>Resurrection as refusal of closure</t>
        </is>
      </c>
      <c r="C35" s="67" t="inlineStr">
        <is>
          <t>1</t>
        </is>
      </c>
      <c r="D35" s="67" t="inlineStr">
        <is>
          <t>DT-01</t>
        </is>
      </c>
      <c r="E35" s="67" t="inlineStr">
        <is>
          <t>DT-001..DT-006 (all 6 now full)</t>
        </is>
      </c>
      <c r="F35" s="71" t="inlineStr">
        <is>
          <t>COMPLETE - 6 figures: Hero Twins (trickster-defeat), Persephone (initiation-gated), Osiris (administered-return), Dumuzi (death-debt), Baal (death-combat), Christian resurrection (vindicated-return)</t>
        </is>
      </c>
    </row>
    <row r="36" ht="23.25" customHeight="1" s="61">
      <c r="A36" s="66" t="inlineStr">
        <is>
          <t>PF Counter.</t>
        </is>
      </c>
      <c r="B36" s="67" t="inlineStr">
        <is>
          <t>Distributed authority; refusal of closure; non-divisible org; relational/assembler</t>
        </is>
      </c>
      <c r="C36" s="67" t="inlineStr">
        <is>
          <t>1</t>
        </is>
      </c>
      <c r="D36" s="67" t="inlineStr">
        <is>
          <t>anti-capture doctrine</t>
        </is>
      </c>
      <c r="E36" s="67" t="inlineStr">
        <is>
          <t>—</t>
        </is>
      </c>
      <c r="F36" s="67" t="inlineStr">
        <is>
          <t>Doctrine. The 12-vs-remainder lens is what the date-log numerology violated.</t>
        </is>
      </c>
    </row>
    <row r="38" ht="19.5" customHeight="1" s="61">
      <c r="A38" s="64" t="inlineStr">
        <is>
          <t>3 · Rows &amp; clusters still owed  (the 'continue forward' menu)</t>
        </is>
      </c>
    </row>
    <row r="39" ht="15" customHeight="1" s="61">
      <c r="A39" s="65" t="inlineStr">
        <is>
          <t>Item</t>
        </is>
      </c>
      <c r="B39" s="65" t="inlineStr">
        <is>
          <t>What / where</t>
        </is>
      </c>
      <c r="C39" s="65" t="inlineStr">
        <is>
          <t>Tier</t>
        </is>
      </c>
      <c r="D39" s="65" t="inlineStr">
        <is>
          <t>Target</t>
        </is>
      </c>
      <c r="E39" s="65" t="inlineStr">
        <is>
          <t>From</t>
        </is>
      </c>
      <c r="F39" s="65" t="inlineStr">
        <is>
          <t>Priority / note</t>
        </is>
      </c>
    </row>
    <row r="40" ht="23.25" customHeight="1" s="61">
      <c r="A40" s="73" t="inlineStr">
        <is>
          <t>Covenant / vassal-treaty</t>
        </is>
      </c>
      <c r="B40" s="67" t="inlineStr">
        <is>
          <t>Hittite -&gt; biblical covenant as capture</t>
        </is>
      </c>
      <c r="C40" s="67" t="inlineStr">
        <is>
          <t>1-2</t>
        </is>
      </c>
      <c r="D40" s="67" t="inlineStr">
        <is>
          <t>CC-01 (new)</t>
        </is>
      </c>
      <c r="E40" s="67" t="inlineStr">
        <is>
          <t>MFM §7A</t>
        </is>
      </c>
      <c r="F40" s="72" t="inlineStr">
        <is>
          <t>DONE — CC-001, founding row of CC-01.</t>
        </is>
      </c>
    </row>
    <row r="41" ht="23.25" customHeight="1" s="61">
      <c r="A41" s="73" t="inlineStr">
        <is>
          <t>Inanna / Ishtar row</t>
        </is>
      </c>
      <c r="B41" s="67" t="inlineStr">
        <is>
          <t>The unsplit / co-opted feminine</t>
        </is>
      </c>
      <c r="C41" s="67" t="inlineStr">
        <is>
          <t>1-2</t>
        </is>
      </c>
      <c r="D41" s="67" t="inlineStr">
        <is>
          <t>UF-01 (new)</t>
        </is>
      </c>
      <c r="E41" s="67" t="inlineStr">
        <is>
          <t>MFM §9</t>
        </is>
      </c>
      <c r="F41" s="72" t="inlineStr">
        <is>
          <t>DONE — UF-001; DF-01 split into demonized (DF-01) vs co-opted/uncontained (UF-01).</t>
        </is>
      </c>
    </row>
    <row r="42" ht="23.25" customHeight="1" s="61">
      <c r="A42" s="66" t="inlineStr">
        <is>
          <t>Captured-craftsman rows</t>
        </is>
      </c>
      <c r="B42" s="67" t="inlineStr">
        <is>
          <t>Hephaestus, Wayland, Tubal-Cain</t>
        </is>
      </c>
      <c r="C42" s="67" t="inlineStr">
        <is>
          <t>2</t>
        </is>
      </c>
      <c r="D42" s="67" t="inlineStr">
        <is>
          <t>RF-01</t>
        </is>
      </c>
      <c r="E42" s="67" t="inlineStr">
        <is>
          <t>MFM §5A</t>
        </is>
      </c>
      <c r="F42" s="71" t="inlineStr">
        <is>
          <t>DONE - RF-006 Hephaestus (crippled-maker), RF-007 Wayland (enslaved-maker), RF-008 Tubal-Cain (marked-lineage); §5A sub-cluster complete</t>
        </is>
      </c>
    </row>
    <row r="43" ht="23.25" customHeight="1" s="61">
      <c r="A43" s="66" t="inlineStr">
        <is>
          <t>Resurrection-as-refusal</t>
        </is>
      </c>
      <c r="B43" s="67" t="inlineStr">
        <is>
          <t>Refusal of administrative closure</t>
        </is>
      </c>
      <c r="C43" s="67" t="inlineStr">
        <is>
          <t>1</t>
        </is>
      </c>
      <c r="D43" s="67" t="inlineStr">
        <is>
          <t>DT-01</t>
        </is>
      </c>
      <c r="E43" s="67" t="inlineStr">
        <is>
          <t>PF Case 3</t>
        </is>
      </c>
      <c r="F43" s="71" t="inlineStr">
        <is>
          <t>DONE - DT-003 Osiris / DT-004 Dumuzi / DT-005 Baal added across 3 sub-types; PF Case 3 now represented</t>
        </is>
      </c>
    </row>
    <row r="44" ht="15" customHeight="1" s="61">
      <c r="A44" s="66" t="inlineStr">
        <is>
          <t>Atrahasis labor row</t>
        </is>
      </c>
      <c r="B44" s="67" t="inlineStr">
        <is>
          <t>Revolt -&gt; replacement labor (distinct from flood)</t>
        </is>
      </c>
      <c r="C44" s="67" t="inlineStr">
        <is>
          <t>1</t>
        </is>
      </c>
      <c r="D44" s="67" t="inlineStr">
        <is>
          <t>RF-01 / FM-01</t>
        </is>
      </c>
      <c r="E44" s="67" t="inlineStr">
        <is>
          <t>MFM §4</t>
        </is>
      </c>
      <c r="F44" s="71" t="inlineStr">
        <is>
          <t>MED</t>
        </is>
      </c>
    </row>
    <row r="45" ht="23.25" customHeight="1" s="61">
      <c r="A45" s="66" t="inlineStr">
        <is>
          <t>Divine-succession cycle</t>
        </is>
      </c>
      <c r="B45" s="67" t="inlineStr">
        <is>
          <t>Uranus/Cronus/Zeus; Kumarbi</t>
        </is>
      </c>
      <c r="C45" s="67" t="inlineStr">
        <is>
          <t>1-2</t>
        </is>
      </c>
      <c r="D45" s="67" t="inlineStr">
        <is>
          <t>OO-01 / SC-01</t>
        </is>
      </c>
      <c r="E45" s="67" t="inlineStr">
        <is>
          <t>MFM §6</t>
        </is>
      </c>
      <c r="F45" s="71" t="inlineStr">
        <is>
          <t>MED</t>
        </is>
      </c>
    </row>
    <row r="46" ht="15" customHeight="1" s="61">
      <c r="A46" s="66" t="inlineStr">
        <is>
          <t>Populate UF-01</t>
        </is>
      </c>
      <c r="B46" s="67" t="inlineStr">
        <is>
          <t>Athena (co-opted), Durga, Sekhmet, Cybele</t>
        </is>
      </c>
      <c r="C46" s="67" t="inlineStr">
        <is>
          <t>1-2</t>
        </is>
      </c>
      <c r="D46" s="67" t="inlineStr">
        <is>
          <t>UF-01</t>
        </is>
      </c>
      <c r="E46" s="67" t="inlineStr">
        <is>
          <t>MFM §9</t>
        </is>
      </c>
      <c r="F46" s="71" t="inlineStr">
        <is>
          <t>LARGELY DONE - Athena, Durga (constituted), Sekhmet (uncontained), Cybele (harnessed) added this pass; UF-01 = 6 figures</t>
        </is>
      </c>
    </row>
    <row r="47" ht="15" customHeight="1" s="61">
      <c r="A47" s="66" t="inlineStr">
        <is>
          <t>Sibling rows for CC-01</t>
        </is>
      </c>
      <c r="B47" s="67" t="inlineStr">
        <is>
          <t>Debt-bondage / jubilee; Esarhaddon oath; tamitu</t>
        </is>
      </c>
      <c r="C47" s="67" t="inlineStr">
        <is>
          <t>1-2</t>
        </is>
      </c>
      <c r="D47" s="67" t="inlineStr">
        <is>
          <t>CC-01</t>
        </is>
      </c>
      <c r="E47" s="67" t="inlineStr">
        <is>
          <t>PF §4</t>
        </is>
      </c>
      <c r="F47" s="71" t="inlineStr">
        <is>
          <t>DONE - CC-002 debt-bondage/Jubilee (debt-release), CC-003 Esarhaddon ade (loyalty-oath), CC-004 tamitu (oracular-access) added; CC-01 now 4, sub-type tagged</t>
        </is>
      </c>
    </row>
    <row r="48" ht="23.25" customHeight="1" s="61">
      <c r="A48" s="66" t="inlineStr">
        <is>
          <t>Expand sacred geography</t>
        </is>
      </c>
      <c r="B48" s="67" t="inlineStr">
        <is>
          <t>More land-claim rows</t>
        </is>
      </c>
      <c r="C48" s="67" t="inlineStr">
        <is>
          <t>2</t>
        </is>
      </c>
      <c r="D48" s="67" t="inlineStr">
        <is>
          <t>SG-01</t>
        </is>
      </c>
      <c r="E48" s="67" t="inlineStr">
        <is>
          <t>MFM §6A</t>
        </is>
      </c>
      <c r="F48" s="71" t="inlineStr">
        <is>
          <t>LOW-MED — thinnest cluster</t>
        </is>
      </c>
    </row>
    <row r="49" ht="15" customHeight="1" s="61">
      <c r="A49" s="66" t="inlineStr">
        <is>
          <t>Pharisees entry</t>
        </is>
      </c>
      <c r="B49" s="67" t="inlineStr">
        <is>
          <t>Distributed remainder after a center falls</t>
        </is>
      </c>
      <c r="C49" s="67" t="inlineStr">
        <is>
          <t>1</t>
        </is>
      </c>
      <c r="D49" s="67" t="inlineStr">
        <is>
          <t>systems</t>
        </is>
      </c>
      <c r="E49" s="67" t="inlineStr">
        <is>
          <t>PF Case 2</t>
        </is>
      </c>
      <c r="F49" s="71" t="inlineStr">
        <is>
          <t>DONE - built as DR-01 (new cluster): Pharisees/rabbinic Judaism (DR-001) + Reformation + Buddha</t>
        </is>
      </c>
    </row>
    <row r="50" ht="15" customHeight="1" s="61">
      <c r="A50" s="74" t="inlineStr">
        <is>
          <t>CREATE  CT-01</t>
        </is>
      </c>
      <c r="B50" s="67" t="inlineStr">
        <is>
          <t>Celestial / Climate Trauma Signal</t>
        </is>
      </c>
      <c r="C50" s="67" t="inlineStr">
        <is>
          <t>2-3</t>
        </is>
      </c>
      <c r="D50" s="67" t="inlineStr">
        <is>
          <t>new cluster</t>
        </is>
      </c>
      <c r="E50" s="67" t="inlineStr">
        <is>
          <t>Handoff</t>
        </is>
      </c>
      <c r="F50" s="75" t="inlineStr">
        <is>
          <t>Quarantine; holds the Göbekli pass once done</t>
        </is>
      </c>
    </row>
    <row r="51" ht="15" customHeight="1" s="61">
      <c r="A51" s="74" t="inlineStr">
        <is>
          <t>CREATE  TM-01</t>
        </is>
      </c>
      <c r="B51" s="67" t="inlineStr">
        <is>
          <t>Timekeeping / Instrument Architecture</t>
        </is>
      </c>
      <c r="C51" s="67" t="inlineStr">
        <is>
          <t>3</t>
        </is>
      </c>
      <c r="D51" s="67" t="inlineStr">
        <is>
          <t>new cluster</t>
        </is>
      </c>
      <c r="E51" s="67" t="inlineStr">
        <is>
          <t>Handoff</t>
        </is>
      </c>
      <c r="F51" s="75" t="inlineStr">
        <is>
          <t>Provisional — needs a mechanism before Tier 2</t>
        </is>
      </c>
    </row>
    <row r="52" ht="23.25" customHeight="1" s="61">
      <c r="A52" s="74" t="inlineStr">
        <is>
          <t>CREATE  LMF-01</t>
        </is>
      </c>
      <c r="B52" s="67" t="inlineStr">
        <is>
          <t>Live Myth Formation</t>
        </is>
      </c>
      <c r="C52" s="67" t="inlineStr">
        <is>
          <t>3</t>
        </is>
      </c>
      <c r="D52" s="67" t="inlineStr">
        <is>
          <t>new cluster</t>
        </is>
      </c>
      <c r="E52" s="67" t="inlineStr">
        <is>
          <t>Handoff</t>
        </is>
      </c>
      <c r="F52" s="75" t="inlineStr">
        <is>
          <t>Quarantine. First specimen = the date log, a live demo not evidence</t>
        </is>
      </c>
    </row>
    <row r="53" ht="23.25" customHeight="1" s="61">
      <c r="A53" s="74" t="inlineStr">
        <is>
          <t>CREATE  Tier-3 bins</t>
        </is>
      </c>
      <c r="B53" s="67" t="inlineStr">
        <is>
          <t>Monster taxonomy (MT-01), cousin-monkey, body-paint</t>
        </is>
      </c>
      <c r="C53" s="67" t="inlineStr">
        <is>
          <t>3</t>
        </is>
      </c>
      <c r="D53" s="67" t="inlineStr">
        <is>
          <t>new cluster(s)</t>
        </is>
      </c>
      <c r="E53" s="67" t="inlineStr">
        <is>
          <t>MFM §10A/13/14</t>
        </is>
      </c>
      <c r="F53" s="75" t="inlineStr">
        <is>
          <t>Labeled Tier-3 bins so they can't leak into the Tier 1-2 matrix</t>
        </is>
      </c>
    </row>
    <row r="55" ht="19.5" customHeight="1" s="61">
      <c r="A55" s="64" t="inlineStr">
        <is>
          <t>4 · Cluster roster  (v0.21 builds 18 active codes: 17 evidence clusters + AD-01 method lens; counts are live)</t>
        </is>
      </c>
    </row>
    <row r="56" ht="15" customHeight="1" s="61">
      <c r="A56" s="65" t="inlineStr">
        <is>
          <t>Code</t>
        </is>
      </c>
      <c r="B56" s="65" t="inlineStr">
        <is>
          <t>Name</t>
        </is>
      </c>
      <c r="C56" s="65" t="inlineStr">
        <is>
          <t>Status</t>
        </is>
      </c>
      <c r="D56" s="65" t="inlineStr">
        <is>
          <t>Rows (live)</t>
        </is>
      </c>
      <c r="E56" s="65" t="inlineStr">
        <is>
          <t>Tier home</t>
        </is>
      </c>
      <c r="F56" s="65" t="inlineStr">
        <is>
          <t>Note</t>
        </is>
      </c>
    </row>
    <row r="57" ht="15" customHeight="1" s="61">
      <c r="A57" s="66" t="inlineStr">
        <is>
          <t>PB-01</t>
        </is>
      </c>
      <c r="B57" s="67" t="inlineStr">
        <is>
          <t>Primordial Body / Corpse-World</t>
        </is>
      </c>
      <c r="C57" s="67" t="inlineStr">
        <is>
          <t>Built</t>
        </is>
      </c>
      <c r="D57" s="67">
        <f>COUNTIF('Master Matrix'!$B:$B,"PB-01")</f>
        <v>5</v>
      </c>
      <c r="E57" s="67" t="inlineStr">
        <is>
          <t>1-2 mostly</t>
        </is>
      </c>
      <c r="F57" s="67" t="n"/>
    </row>
    <row r="58" ht="15" customHeight="1" s="61">
      <c r="A58" s="66" t="inlineStr">
        <is>
          <t>OO-01</t>
        </is>
      </c>
      <c r="B58" s="67" t="inlineStr">
        <is>
          <t>Ordering Operator / New Boss</t>
        </is>
      </c>
      <c r="C58" s="67" t="inlineStr">
        <is>
          <t>Built</t>
        </is>
      </c>
      <c r="D58" s="67">
        <f>COUNTIF('Master Matrix'!$B:$B,"OO-01")</f>
        <v>5</v>
      </c>
      <c r="E58" s="67" t="inlineStr">
        <is>
          <t>1-2 mostly</t>
        </is>
      </c>
      <c r="F58" s="67" t="n"/>
    </row>
    <row r="59" ht="15" customHeight="1" s="61">
      <c r="A59" s="66" t="inlineStr">
        <is>
          <t>RF-01</t>
        </is>
      </c>
      <c r="B59" s="67" t="inlineStr">
        <is>
          <t>Rebel Blood / Embedded Remainder</t>
        </is>
      </c>
      <c r="C59" s="67" t="inlineStr">
        <is>
          <t>Built</t>
        </is>
      </c>
      <c r="D59" s="67">
        <f>COUNTIF('Master Matrix'!$B:$B,"RF-01")</f>
        <v>8</v>
      </c>
      <c r="E59" s="67" t="inlineStr">
        <is>
          <t>1-2 mostly</t>
        </is>
      </c>
      <c r="F59" s="67" t="inlineStr">
        <is>
          <t>Embedded remainder. Now incl. the §5A captured-craftsman sub-cluster (Hephaestus, Wayland, Tubal-Cain), sub-type tagged; older RF rows untagged pending analysis.</t>
        </is>
      </c>
    </row>
    <row r="60" ht="15" customHeight="1" s="61">
      <c r="A60" s="66" t="inlineStr">
        <is>
          <t>DF-01</t>
        </is>
      </c>
      <c r="B60" s="67" t="inlineStr">
        <is>
          <t>Demonized Feminine / Unadministrable Woman</t>
        </is>
      </c>
      <c r="C60" s="67" t="inlineStr">
        <is>
          <t>Built</t>
        </is>
      </c>
      <c r="D60" s="67">
        <f>COUNTIF('Master Matrix'!$B:$B,"DF-01")</f>
        <v>5</v>
      </c>
      <c r="E60" s="67" t="inlineStr">
        <is>
          <t>1-2 mostly</t>
        </is>
      </c>
      <c r="F60" s="67" t="inlineStr">
        <is>
          <t>Now demonized/split figures only (co-opted ones -&gt; UF-01)</t>
        </is>
      </c>
    </row>
    <row r="61" ht="15" customHeight="1" s="61">
      <c r="A61" s="66" t="inlineStr">
        <is>
          <t>TR-01</t>
        </is>
      </c>
      <c r="B61" s="67" t="inlineStr">
        <is>
          <t>Trickster / Unauthorized Intelligence</t>
        </is>
      </c>
      <c r="C61" s="67" t="inlineStr">
        <is>
          <t>Built</t>
        </is>
      </c>
      <c r="D61" s="67">
        <f>COUNTIF('Master Matrix'!$B:$B,"TR-01")</f>
        <v>5</v>
      </c>
      <c r="E61" s="67" t="inlineStr">
        <is>
          <t>1-2 mostly</t>
        </is>
      </c>
      <c r="F61" s="67" t="n"/>
    </row>
    <row r="62" ht="15" customHeight="1" s="61">
      <c r="A62" s="66" t="inlineStr">
        <is>
          <t>SC-01</t>
        </is>
      </c>
      <c r="B62" s="67" t="inlineStr">
        <is>
          <t>Scapegoat / Founding Violence</t>
        </is>
      </c>
      <c r="C62" s="67" t="inlineStr">
        <is>
          <t>Built</t>
        </is>
      </c>
      <c r="D62" s="67">
        <f>COUNTIF('Master Matrix'!$B:$B,"SC-01")</f>
        <v>3</v>
      </c>
      <c r="E62" s="67" t="inlineStr">
        <is>
          <t>1-2 mostly</t>
        </is>
      </c>
      <c r="F62" s="67" t="n"/>
    </row>
    <row r="63" ht="15" customHeight="1" s="61">
      <c r="A63" s="66" t="inlineStr">
        <is>
          <t>FM-01</t>
        </is>
      </c>
      <c r="B63" s="67" t="inlineStr">
        <is>
          <t>Flood / Reset Memory</t>
        </is>
      </c>
      <c r="C63" s="67" t="inlineStr">
        <is>
          <t>Built</t>
        </is>
      </c>
      <c r="D63" s="67">
        <f>COUNTIF('Master Matrix'!$B:$B,"FM-01")</f>
        <v>3</v>
      </c>
      <c r="E63" s="67" t="inlineStr">
        <is>
          <t>1-2 mostly</t>
        </is>
      </c>
      <c r="F63" s="67" t="n"/>
    </row>
    <row r="64" ht="15" customHeight="1" s="61">
      <c r="A64" s="66" t="inlineStr">
        <is>
          <t>SG-01</t>
        </is>
      </c>
      <c r="B64" s="67" t="inlineStr">
        <is>
          <t>Sacred Geography / Land Claim</t>
        </is>
      </c>
      <c r="C64" s="67" t="inlineStr">
        <is>
          <t>Built</t>
        </is>
      </c>
      <c r="D64" s="67">
        <f>COUNTIF('Master Matrix'!$B:$B,"SG-01")</f>
        <v>1</v>
      </c>
      <c r="E64" s="67" t="inlineStr">
        <is>
          <t>1-2 mostly</t>
        </is>
      </c>
      <c r="F64" s="67" t="n"/>
    </row>
    <row r="65" ht="15" customHeight="1" s="61">
      <c r="A65" s="66" t="inlineStr">
        <is>
          <t>DT-01</t>
        </is>
      </c>
      <c r="B65" s="67" t="inlineStr">
        <is>
          <t>Death-Admin / Refusal of Closure</t>
        </is>
      </c>
      <c r="C65" s="67" t="inlineStr">
        <is>
          <t>Built</t>
        </is>
      </c>
      <c r="D65" s="67">
        <f>COUNTIF('Master Matrix'!$B:$B,"DT-01")</f>
        <v>6</v>
      </c>
      <c r="E65" s="67" t="inlineStr">
        <is>
          <t>1-2 mostly</t>
        </is>
      </c>
      <c r="F65" s="67" t="inlineStr">
        <is>
          <t>FULLY anchored (6 figures): Hero Twins + Persephone now built out from placeholders; Osiris, Dumuzi, Baal, Christian resurrection. Six distinct death-admin / refusal modes.</t>
        </is>
      </c>
    </row>
    <row r="66" ht="15" customHeight="1" s="61">
      <c r="A66" s="66" t="inlineStr">
        <is>
          <t>BW-01</t>
        </is>
      </c>
      <c r="B66" s="67" t="inlineStr">
        <is>
          <t>Birth Threshold / Warding Power</t>
        </is>
      </c>
      <c r="C66" s="67" t="inlineStr">
        <is>
          <t>Built</t>
        </is>
      </c>
      <c r="D66" s="67">
        <f>COUNTIF('Master Matrix'!$B:$B,"BW-01")</f>
        <v>1</v>
      </c>
      <c r="E66" s="67" t="inlineStr">
        <is>
          <t>1-2 mostly</t>
        </is>
      </c>
      <c r="F66" s="67" t="n"/>
    </row>
    <row r="67" ht="15" customHeight="1" s="61">
      <c r="A67" s="66" t="inlineStr">
        <is>
          <t>AD-01</t>
        </is>
      </c>
      <c r="B67" s="67" t="inlineStr">
        <is>
          <t>Asha / Druj Functional Lens</t>
        </is>
      </c>
      <c r="C67" s="67" t="inlineStr">
        <is>
          <t>Built</t>
        </is>
      </c>
      <c r="D67" s="67">
        <f>COUNTIF('Master Matrix'!$B:$B,"AD-01")</f>
        <v>3</v>
      </c>
      <c r="E67" s="67" t="inlineStr">
        <is>
          <t>1-2 mostly</t>
        </is>
      </c>
      <c r="F67" s="67" t="n"/>
    </row>
    <row r="68" ht="23.25" customHeight="1" s="61">
      <c r="A68" s="73" t="inlineStr">
        <is>
          <t>CC-01</t>
        </is>
      </c>
      <c r="B68" s="67" t="inlineStr">
        <is>
          <t>Sacred Contract / Covenant Capture</t>
        </is>
      </c>
      <c r="C68" s="72" t="inlineStr">
        <is>
          <t>Built (new)</t>
        </is>
      </c>
      <c r="D68" s="67">
        <f>COUNTIF('Master Matrix'!$B:$B,"CC-01")</f>
        <v>3</v>
      </c>
      <c r="E68" s="67" t="inlineStr">
        <is>
          <t>1-2</t>
        </is>
      </c>
      <c r="F68" s="67" t="inlineStr">
        <is>
          <t>Now 3 mechanisms (tamītu relocated to the new DV-01 divination cluster): vassal-treaty (CC-001), debt-release (CC-002), loyalty-oath (CC-003).</t>
        </is>
      </c>
    </row>
    <row r="69" ht="34.5" customHeight="1" s="61">
      <c r="A69" s="73" t="inlineStr">
        <is>
          <t>UF-01</t>
        </is>
      </c>
      <c r="B69" s="67" t="inlineStr">
        <is>
          <t>Uncontained / Co-opted Feminine</t>
        </is>
      </c>
      <c r="C69" s="72" t="inlineStr">
        <is>
          <t>Built (new)</t>
        </is>
      </c>
      <c r="D69" s="67">
        <f>COUNTIF('Master Matrix'!$B:$B,"UF-01")</f>
        <v>8</v>
      </c>
      <c r="E69" s="67" t="inlineStr">
        <is>
          <t>1-2</t>
        </is>
      </c>
      <c r="F69" s="67" t="inlineStr">
        <is>
          <t>Session-built sibling to DF-01. 6 figures across 3 balanced sub-types: constituted (Athena, Durga), harnessed-autonomy (Inanna, Cybele), uncontained (Kali, Sekhmet). Beyond the handoff's 14.</t>
        </is>
      </c>
    </row>
    <row r="70" ht="23.25" customHeight="1" s="61">
      <c r="A70" s="73" t="inlineStr">
        <is>
          <t>DV-01</t>
        </is>
      </c>
      <c r="B70" s="67" t="inlineStr">
        <is>
          <t>Divination / Gatekeeping Divine Will</t>
        </is>
      </c>
      <c r="C70" s="72" t="inlineStr">
        <is>
          <t>Built (new)</t>
        </is>
      </c>
      <c r="D70" s="67">
        <f>COUNTIF('Master Matrix'!$B:$B,"DV-01")</f>
        <v>4</v>
      </c>
      <c r="E70" s="67" t="inlineStr">
        <is>
          <t>1-2</t>
        </is>
      </c>
      <c r="F70" s="67" t="inlineStr">
        <is>
          <t>Seeded by tamītu (relocated from CC-01). 4 modes across 4 regions: binary-query (Mesopotamia), ambiguous-utterance (Delphi), state-veto (Rome), royal-monopoly (Shang). Purest priesthood-function; note the writing-from-divination thread.</t>
        </is>
      </c>
    </row>
    <row r="71" ht="23.25" customHeight="1" s="61">
      <c r="A71" s="73" t="inlineStr">
        <is>
          <t>DR-01</t>
        </is>
      </c>
      <c r="B71" s="67" t="inlineStr">
        <is>
          <t>Distributed Remainder / Center's Fall</t>
        </is>
      </c>
      <c r="C71" s="72" t="inlineStr">
        <is>
          <t>Built (new)</t>
        </is>
      </c>
      <c r="D71" s="67">
        <f>COUNTIF('Master Matrix'!$B:$B,"DR-01")</f>
        <v>3</v>
      </c>
      <c r="E71" s="67" t="inlineStr">
        <is>
          <t>1-2</t>
        </is>
      </c>
      <c r="F71" s="67" t="inlineStr">
        <is>
          <t>PF Case 2 (formerly homeless) now homed. 3 distribution-triggers: place destroyed (Pharisees), monopoly broken (Reformation), founder dies (Buddha). Key tension: distribution re-concentrates.</t>
        </is>
      </c>
    </row>
    <row r="72" ht="34.5" customHeight="1" s="61">
      <c r="A72" s="76" t="inlineStr">
        <is>
          <t>VA-01</t>
        </is>
      </c>
      <c r="B72" s="77" t="inlineStr">
        <is>
          <t>Voice / Authorship / Signal Capture</t>
        </is>
      </c>
      <c r="C72" s="78" t="inlineStr">
        <is>
          <t>Built (v0.21)</t>
        </is>
      </c>
      <c r="D72" s="77">
        <f>COUNTIF('Master Matrix'!$B:$B,"VA-01")</f>
        <v>7</v>
      </c>
      <c r="E72" s="77" t="inlineStr">
        <is>
          <t>1-2</t>
        </is>
      </c>
      <c r="F72" s="77" t="inlineStr">
        <is>
          <t>7 rows. Separates origination, repetition, recording, credibility, and circulation; includes counterexample Vāc.</t>
        </is>
      </c>
    </row>
    <row r="73" ht="34.5" customHeight="1" s="61">
      <c r="A73" s="76" t="inlineStr">
        <is>
          <t>TH-01</t>
        </is>
      </c>
      <c r="B73" s="77" t="inlineStr">
        <is>
          <t>Threshold / Exit / Jurisdiction</t>
        </is>
      </c>
      <c r="C73" s="78" t="inlineStr">
        <is>
          <t>Built (v0.21)</t>
        </is>
      </c>
      <c r="D73" s="77">
        <f>COUNTIF('Master Matrix'!$B:$B,"TH-01")</f>
        <v>8</v>
      </c>
      <c r="E73" s="77" t="inlineStr">
        <is>
          <t>1-2</t>
        </is>
      </c>
      <c r="F73" s="77" t="inlineStr">
        <is>
          <t>8 rows. Requires a real passage rule or jurisdictional mechanism; Hecate is a carefully bounded partial fit.</t>
        </is>
      </c>
    </row>
    <row r="74" ht="34.5" customHeight="1" s="61">
      <c r="A74" s="76" t="inlineStr">
        <is>
          <t>CO-01</t>
        </is>
      </c>
      <c r="B74" s="77" t="inlineStr">
        <is>
          <t>Capture by Office / Promotion</t>
        </is>
      </c>
      <c r="C74" s="78" t="inlineStr">
        <is>
          <t>Built (v0.21)</t>
        </is>
      </c>
      <c r="D74" s="77">
        <f>COUNTIF('Master Matrix'!$B:$B,"CO-01")</f>
        <v>6</v>
      </c>
      <c r="E74" s="77" t="inlineStr">
        <is>
          <t>1-2</t>
        </is>
      </c>
      <c r="F74" s="77" t="inlineStr">
        <is>
          <t>6 rows. Wukong and Erinyes anchor it; Daniel, Joseph, and Demeter keep promotion from meaning capture by default.</t>
        </is>
      </c>
    </row>
    <row r="75" ht="23.25" customHeight="1" s="61">
      <c r="A75" s="74" t="inlineStr">
        <is>
          <t>CT-01</t>
        </is>
      </c>
      <c r="B75" s="67" t="inlineStr">
        <is>
          <t>Celestial / Climate Trauma Signal</t>
        </is>
      </c>
      <c r="C75" s="75" t="inlineStr">
        <is>
          <t>Not built</t>
        </is>
      </c>
      <c r="D75" s="67">
        <f>COUNTIF('Master Matrix'!$B:$B,"CT-01")</f>
        <v>0</v>
      </c>
      <c r="E75" s="67" t="inlineStr">
        <is>
          <t>2-3</t>
        </is>
      </c>
      <c r="F75" s="67" t="inlineStr">
        <is>
          <t>In handoff, not built — quarantine bin (Göbekli, comet claims)</t>
        </is>
      </c>
    </row>
    <row r="76" ht="19.5" customHeight="1" s="61">
      <c r="A76" s="74" t="inlineStr">
        <is>
          <t>TM-01</t>
        </is>
      </c>
      <c r="B76" s="67" t="inlineStr">
        <is>
          <t>Timekeeping / Instrument Architecture</t>
        </is>
      </c>
      <c r="C76" s="75" t="inlineStr">
        <is>
          <t>Not built</t>
        </is>
      </c>
      <c r="D76" s="67">
        <f>COUNTIF('Master Matrix'!$B:$B,"TM-01")</f>
        <v>0</v>
      </c>
      <c r="E76" s="67" t="inlineStr">
        <is>
          <t>3</t>
        </is>
      </c>
      <c r="F76" s="67" t="inlineStr">
        <is>
          <t>In handoff, not built — provisional until a physical mechanism is shown</t>
        </is>
      </c>
    </row>
    <row r="77" ht="19.5" customHeight="1" s="61">
      <c r="A77" s="74" t="inlineStr">
        <is>
          <t>LMF-01</t>
        </is>
      </c>
      <c r="B77" s="67" t="inlineStr">
        <is>
          <t>Live Myth Formation</t>
        </is>
      </c>
      <c r="C77" s="75" t="inlineStr">
        <is>
          <t>Not built</t>
        </is>
      </c>
      <c r="D77" s="67">
        <f>COUNTIF('Master Matrix'!$B:$B,"LMF-01")</f>
        <v>0</v>
      </c>
      <c r="E77" s="67" t="inlineStr">
        <is>
          <t>3</t>
        </is>
      </c>
      <c r="F77" s="67" t="inlineStr">
        <is>
          <t>In handoff, not built — quarantine for real-time myth (date log lives here as a demo)</t>
        </is>
      </c>
    </row>
    <row r="78" ht="19.5" customHeight="1" s="61">
      <c r="A78" s="79" t="inlineStr">
        <is>
          <t>MT-01</t>
        </is>
      </c>
      <c r="B78" s="77" t="inlineStr">
        <is>
          <t>Monster Taxonomy</t>
        </is>
      </c>
      <c r="C78" s="80" t="inlineStr">
        <is>
          <t>Not built</t>
        </is>
      </c>
      <c r="D78" s="77">
        <f>COUNTIF('Master Matrix'!$B:$B,"MT-01")</f>
        <v>0</v>
      </c>
      <c r="E78" s="77" t="inlineStr">
        <is>
          <t>Tier 3</t>
        </is>
      </c>
      <c r="F78" s="77" t="inlineStr">
        <is>
          <t>Proposed quarantine container; do not infer one shared monster mechanism.</t>
        </is>
      </c>
    </row>
    <row r="79" ht="23.25" customHeight="1" s="61"/>
    <row r="80" ht="15" customHeight="1" s="61">
      <c r="A80" s="64" t="inlineStr">
        <is>
          <t>5 · Mechanism glossary  (the column verbs the matrix uses but never defined)</t>
        </is>
      </c>
      <c r="B80" s="60" t="n"/>
    </row>
    <row r="81" ht="15" customHeight="1" s="61">
      <c r="A81" s="65" t="inlineStr">
        <is>
          <t>Term</t>
        </is>
      </c>
      <c r="B81" s="65" t="inlineStr">
        <is>
          <t>Plain definition</t>
        </is>
      </c>
      <c r="C81" s="70" t="n"/>
      <c r="D81" s="81" t="n"/>
      <c r="E81" s="65" t="inlineStr">
        <is>
          <t>Spine source</t>
        </is>
      </c>
      <c r="F81" s="65" t="inlineStr">
        <is>
          <t>Shows in matrix as</t>
        </is>
      </c>
    </row>
    <row r="82" ht="23.25" customHeight="1" s="61">
      <c r="A82" s="66" t="inlineStr">
        <is>
          <t>Capture</t>
        </is>
      </c>
      <c r="B82" s="67" t="inlineStr">
        <is>
          <t>Wild/emergent activity (refusal, awe, bonds, time) is identified as destabilizing or useful and pulled toward control.</t>
        </is>
      </c>
      <c r="C82" s="70" t="n"/>
      <c r="D82" s="81" t="n"/>
      <c r="E82" s="67" t="inlineStr">
        <is>
          <t>PF §1</t>
        </is>
      </c>
      <c r="F82" s="67" t="inlineStr">
        <is>
          <t>root of 'Priesthood-Function Move'</t>
        </is>
      </c>
    </row>
    <row r="83" ht="23.25" customHeight="1" s="61">
      <c r="A83" s="66" t="inlineStr">
        <is>
          <t>Canonization</t>
        </is>
      </c>
      <c r="B83" s="67" t="inlineStr">
        <is>
          <t>One authorized version is fixed; rival memories are marginalized or erased.</t>
        </is>
      </c>
      <c r="C83" s="70" t="n"/>
      <c r="D83" s="81" t="n"/>
      <c r="E83" s="67" t="inlineStr">
        <is>
          <t>PF §1</t>
        </is>
      </c>
      <c r="F83" s="67" t="inlineStr">
        <is>
          <t>'Priesthood-Function Move'</t>
        </is>
      </c>
    </row>
    <row r="84" ht="23.25" customHeight="1" s="61">
      <c r="A84" s="66" t="inlineStr">
        <is>
          <t>Narrative heist</t>
        </is>
      </c>
      <c r="B84" s="67" t="inlineStr">
        <is>
          <t>A successful refusal is rewritten so suppressors look heroic and rebels look like chaos.</t>
        </is>
      </c>
      <c r="C84" s="70" t="n"/>
      <c r="D84" s="81" t="n"/>
      <c r="E84" s="67" t="inlineStr">
        <is>
          <t>PF §2 / MFM §7</t>
        </is>
      </c>
      <c r="F84" s="67" t="inlineStr">
        <is>
          <t>'Priesthood-Function Move'</t>
        </is>
      </c>
    </row>
    <row r="85" ht="23.25" customHeight="1" s="61">
      <c r="A85" s="66" t="inlineStr">
        <is>
          <t>Co-option</t>
        </is>
      </c>
      <c r="B85" s="67" t="inlineStr">
        <is>
          <t>Power too strong to suppress is instead elevated and attached to the order it would have threatened (e.g. Inanna sanctifying kingship).</t>
        </is>
      </c>
      <c r="C85" s="70" t="n"/>
      <c r="D85" s="81" t="n"/>
      <c r="E85" s="67" t="inlineStr">
        <is>
          <t>MFM §9 / PF §1</t>
        </is>
      </c>
      <c r="F85" s="67" t="inlineStr">
        <is>
          <t>UF-01; 'Priesthood-Function Move'</t>
        </is>
      </c>
    </row>
    <row r="86" ht="23.25" customHeight="1" s="61">
      <c r="A86" s="66" t="inlineStr">
        <is>
          <t>Embedded remainder</t>
        </is>
      </c>
      <c r="B86" s="67" t="inlineStr">
        <is>
          <t>The refusal isn't erased — it's subordinated and built into the foundation, where it stays latent.</t>
        </is>
      </c>
      <c r="C86" s="70" t="n"/>
      <c r="D86" s="81" t="n"/>
      <c r="E86" s="67" t="inlineStr">
        <is>
          <t>PF §3</t>
        </is>
      </c>
      <c r="F86" s="67" t="inlineStr">
        <is>
          <t>'Remainder / What Survives'</t>
        </is>
      </c>
    </row>
    <row r="87" ht="23.25" customHeight="1" s="61">
      <c r="A87" s="66" t="inlineStr">
        <is>
          <t>Black ledger</t>
        </is>
      </c>
      <c r="B87" s="67" t="inlineStr">
        <is>
          <t>Non-transactional life (time, relationship, meaning) is converted into debt the institution tracks and extracts.</t>
        </is>
      </c>
      <c r="C87" s="70" t="n"/>
      <c r="D87" s="81" t="n"/>
      <c r="E87" s="67" t="inlineStr">
        <is>
          <t>PF §4</t>
        </is>
      </c>
      <c r="F87" s="67" t="inlineStr">
        <is>
          <t>subtext of capture rows; seeds CC-01</t>
        </is>
      </c>
    </row>
    <row r="88" ht="23.25" customHeight="1" s="61">
      <c r="A88" s="66" t="inlineStr">
        <is>
          <t>12-style vs remainder</t>
        </is>
      </c>
      <c r="B88" s="67" t="inlineStr">
        <is>
          <t>Power favors clean divisible units (12 months/signs/tribes); the remainder is what won't divide (13, lunar, primes).</t>
        </is>
      </c>
      <c r="C88" s="70" t="n"/>
      <c r="D88" s="81" t="n"/>
      <c r="E88" s="67" t="inlineStr">
        <is>
          <t>PF §5</t>
        </is>
      </c>
      <c r="F88" s="67" t="inlineStr">
        <is>
          <t>the AD-01 lens; the date-log failure</t>
        </is>
      </c>
    </row>
    <row r="89" ht="15" customHeight="1" s="61">
      <c r="A89" s="66" t="inlineStr">
        <is>
          <t>Priesthood failure modes</t>
        </is>
      </c>
      <c r="B89" s="67" t="inlineStr">
        <is>
          <t>Ossification; symbolic monopoly; ritual inflation; choke points; narrative laundering. Capture-by-drift.</t>
        </is>
      </c>
      <c r="C89" s="70" t="n"/>
      <c r="D89" s="81" t="n"/>
      <c r="E89" s="67" t="inlineStr">
        <is>
          <t>MFM §15</t>
        </is>
      </c>
      <c r="F89" s="67" t="inlineStr">
        <is>
          <t>'Notes / Warnings', 'Overclaim Risk'</t>
        </is>
      </c>
    </row>
    <row r="90" ht="15" customHeight="1" s="61">
      <c r="A90" s="66" t="inlineStr">
        <is>
          <t>Asha / Druj</t>
        </is>
      </c>
      <c r="B90" s="67" t="inlineStr">
        <is>
          <t>Coherence/truth-pattern vs distortion/rupture. Lawful order itself becomes druj when bypass is removed.</t>
        </is>
      </c>
      <c r="C90" s="82" t="n"/>
      <c r="D90" s="83" t="n"/>
      <c r="E90" s="67" t="inlineStr">
        <is>
          <t>AD-01</t>
        </is>
      </c>
      <c r="F90" s="67" t="inlineStr">
        <is>
          <t>AD-01 cluster</t>
        </is>
      </c>
    </row>
    <row r="91">
      <c r="A91" s="66" t="inlineStr">
        <is>
          <t>Tiers 1 / 2 / 3</t>
        </is>
      </c>
      <c r="B91" s="70" t="n"/>
      <c r="C91" s="70" t="n"/>
      <c r="D91" s="70" t="n"/>
      <c r="E91" s="70" t="n"/>
      <c r="F91" s="81" t="n"/>
    </row>
    <row r="92"/>
    <row r="93">
      <c r="A93" s="63" t="inlineStr">
        <is>
          <t>Legend: amber = owed/homeless · indigo = create-new cluster · green = done. Evidence Mode + Adaptation Boundary now separate source fact from project invention.</t>
        </is>
      </c>
    </row>
  </sheetData>
  <mergeCells count="21">
    <mergeCell ref="B88:D88"/>
    <mergeCell ref="B82:D82"/>
    <mergeCell ref="D7:F7"/>
    <mergeCell ref="A3:F3"/>
    <mergeCell ref="A55:F55"/>
    <mergeCell ref="B87:D87"/>
    <mergeCell ref="A2:F2"/>
    <mergeCell ref="A5:F5"/>
    <mergeCell ref="B84:D84"/>
    <mergeCell ref="D9:F9"/>
    <mergeCell ref="B83:D83"/>
    <mergeCell ref="D8:F8"/>
    <mergeCell ref="A91:F91"/>
    <mergeCell ref="A38:F38"/>
    <mergeCell ref="B89:D89"/>
    <mergeCell ref="B80:D80"/>
    <mergeCell ref="B85:D85"/>
    <mergeCell ref="B81:D81"/>
    <mergeCell ref="A11:F11"/>
    <mergeCell ref="A1:F1"/>
    <mergeCell ref="B86:D8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xmlns:ns1="http://schemas.openxmlformats.org/officeDocument/2006/relationships">
  <sheetPr filterMode="0">
    <outlinePr summaryBelow="1" summaryRight="1"/>
    <pageSetUpPr fitToPage="0"/>
  </sheetPr>
  <dimension ref="A1:Z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84" min="1" max="1"/>
    <col width="42" customWidth="1" style="84" min="2" max="2"/>
    <col width="24" customWidth="1" style="84" min="3" max="3"/>
    <col width="12" customWidth="1" style="84" min="4" max="4"/>
    <col width="48" customWidth="1" style="84" min="5" max="5"/>
    <col width="22" customWidth="1" style="84" min="6" max="8"/>
    <col width="22" customWidth="1" style="60" min="10" max="10"/>
    <col width="12" customWidth="1" style="60" min="11" max="11"/>
    <col width="36" customWidth="1" style="61" min="14" max="14"/>
    <col width="12" customWidth="1" style="61" min="15" max="15"/>
  </cols>
  <sheetData>
    <row r="1" ht="20.25" customHeight="1" s="61">
      <c r="A1" s="85" t="inlineStr">
        <is>
          <t>Comparative Monkey-Myth Matrix</t>
        </is>
      </c>
      <c r="I1" s="86" t="n"/>
      <c r="J1" s="86" t="n"/>
      <c r="K1" s="86" t="n"/>
      <c r="L1" s="86" t="n"/>
      <c r="M1" s="86" t="n"/>
      <c r="N1" s="86" t="n"/>
      <c r="O1" s="86" t="n"/>
      <c r="P1" s="86" t="n"/>
      <c r="Q1" s="86" t="n"/>
      <c r="R1" s="86" t="n"/>
      <c r="S1" s="86" t="n"/>
      <c r="T1" s="86" t="n"/>
      <c r="U1" s="86" t="n"/>
      <c r="V1" s="86" t="n"/>
      <c r="W1" s="86" t="n"/>
      <c r="X1" s="86" t="n"/>
      <c r="Y1" s="86" t="n"/>
      <c r="Z1" s="86" t="n"/>
    </row>
    <row r="2" ht="41.25" customHeight="1" s="61">
      <c r="A2" s="87" t="inlineStr">
        <is>
          <t>Purpose</t>
        </is>
      </c>
      <c r="B2" s="87" t="inlineStr">
        <is>
          <t>Track recurring mythic functions as hominid/social systems patterns, while keeping confidence tiers and source status visible.</t>
        </is>
      </c>
      <c r="C2" s="87" t="n"/>
      <c r="D2" s="87" t="n"/>
      <c r="E2" s="87" t="n"/>
      <c r="F2" s="87" t="n"/>
      <c r="G2" s="87" t="n"/>
      <c r="H2" s="87" t="n"/>
    </row>
    <row r="3" ht="54.75" customHeight="1" s="61">
      <c r="A3" s="87" t="inlineStr">
        <is>
          <t>Guardrail</t>
        </is>
      </c>
      <c r="B3" s="87" t="inlineStr">
        <is>
          <t>Not one secret origin story. Compare functions, power mechanics, narrative capture, and remainder. No crown; no mandatory interpreter.</t>
        </is>
      </c>
      <c r="C3" s="87" t="n"/>
      <c r="D3" s="87" t="n"/>
      <c r="E3" s="87" t="n"/>
      <c r="F3" s="87" t="n"/>
      <c r="G3" s="87" t="n"/>
      <c r="H3" s="87" t="n"/>
    </row>
    <row r="4" ht="41.25" customHeight="1" s="61">
      <c r="A4" s="87" t="inlineStr">
        <is>
          <t>Source spine</t>
        </is>
      </c>
      <c r="B4" s="87" t="inlineStr">
        <is>
          <t>Myth as Fossilized Monkey Politics + Priesthood-Function. Treat this as a working matrix to patch, fork, and source-pass.</t>
        </is>
      </c>
      <c r="C4" s="87" t="n"/>
      <c r="D4" s="87" t="n"/>
      <c r="E4" s="87" t="n"/>
      <c r="F4" s="87" t="n"/>
      <c r="G4" s="87" t="n"/>
      <c r="H4" s="87" t="n"/>
    </row>
    <row r="5" ht="15" customHeight="1" s="61">
      <c r="A5" s="87" t="inlineStr">
        <is>
          <t>Created</t>
        </is>
      </c>
      <c r="B5" s="87" t="inlineStr">
        <is>
          <t>Updated 2026-08-18 · v0.21</t>
        </is>
      </c>
      <c r="C5" s="87" t="n"/>
      <c r="D5" s="87" t="n"/>
      <c r="E5" s="87" t="n"/>
      <c r="F5" s="87" t="n"/>
      <c r="G5" s="87" t="n"/>
      <c r="H5" s="87" t="n"/>
    </row>
    <row r="6" ht="15" customHeight="1" s="61">
      <c r="J6" s="88" t="inlineStr">
        <is>
          <t>FRAME TEST — can a row fail?</t>
        </is>
      </c>
      <c r="N6" s="89" t="inlineStr">
        <is>
          <t>EVIDENCE / ADAPTATION BOUNDARY</t>
        </is>
      </c>
      <c r="O6" s="90" t="n"/>
    </row>
    <row r="7" ht="15" customHeight="1" s="61">
      <c r="A7" s="91" t="inlineStr">
        <is>
          <t>Cluster ID</t>
        </is>
      </c>
      <c r="B7" s="91" t="inlineStr">
        <is>
          <t>Cluster Name</t>
        </is>
      </c>
      <c r="C7" s="91" t="inlineStr">
        <is>
          <t>Starter Rows</t>
        </is>
      </c>
      <c r="D7" s="91" t="inlineStr">
        <is>
          <t>Notes</t>
        </is>
      </c>
      <c r="F7" s="91" t="inlineStr">
        <is>
          <t>Confidence Tier</t>
        </is>
      </c>
      <c r="G7" s="91" t="inlineStr">
        <is>
          <t>Rows</t>
        </is>
      </c>
      <c r="H7" s="91" t="inlineStr">
        <is>
          <t>Meaning</t>
        </is>
      </c>
      <c r="J7" s="92" t="inlineStr">
        <is>
          <t>Fit Verdict</t>
        </is>
      </c>
      <c r="K7" s="92" t="inlineStr">
        <is>
          <t>Rows</t>
        </is>
      </c>
      <c r="N7" s="93" t="inlineStr">
        <is>
          <t>Evidence Mode</t>
        </is>
      </c>
      <c r="O7" s="93" t="inlineStr">
        <is>
          <t>Rows</t>
        </is>
      </c>
    </row>
    <row r="8" ht="122.25" customHeight="1" s="61">
      <c r="A8" s="94" t="inlineStr">
        <is>
          <t>PB-01</t>
        </is>
      </c>
      <c r="B8" s="94" t="inlineStr">
        <is>
          <t>Primordial Body / Corpse-World</t>
        </is>
      </c>
      <c r="C8" s="94">
        <f>COUNTIF('Master Matrix'!$B:$B,A8)</f>
        <v>5</v>
      </c>
      <c r="D8" s="94" t="inlineStr">
        <is>
          <t>Prior living/generative body killed, sacrificed, or disassembled into world/infrastructure.</t>
        </is>
      </c>
      <c r="F8" s="94" t="inlineStr">
        <is>
          <t>Tier 1</t>
        </is>
      </c>
      <c r="G8" s="94">
        <f>COUNTIF('Master Matrix'!$L:$L,"Tier 1")</f>
        <v>3</v>
      </c>
      <c r="H8" s="94" t="inlineStr">
        <is>
          <t>Grounded textual/social structure or internal framework.</t>
        </is>
      </c>
      <c r="J8" s="60" t="inlineStr">
        <is>
          <t>Fits</t>
        </is>
      </c>
      <c r="K8" s="60">
        <f>COUNTIF('Master Matrix'!$AC:$AC,"Fits")</f>
        <v>13</v>
      </c>
      <c r="N8" s="90" t="inlineStr">
        <is>
          <t>Ancient textual core</t>
        </is>
      </c>
      <c r="O8" s="90">
        <f>COUNTIF('Master Matrix'!$AE:$AE,N8)</f>
        <v>15</v>
      </c>
    </row>
    <row r="9" ht="95.25" customHeight="1" s="61">
      <c r="A9" s="94" t="inlineStr">
        <is>
          <t>OO-01</t>
        </is>
      </c>
      <c r="B9" s="94" t="inlineStr">
        <is>
          <t>Ordering Operator / New Boss</t>
        </is>
      </c>
      <c r="C9" s="94">
        <f>COUNTIF('Master Matrix'!$B:$B,A9)</f>
        <v>5</v>
      </c>
      <c r="D9" s="94" t="inlineStr">
        <is>
          <t>Violent or strategic organizer converts crisis into permanent sovereignty.</t>
        </is>
      </c>
      <c r="F9" s="94" t="inlineStr">
        <is>
          <t>Tier 1-2</t>
        </is>
      </c>
      <c r="G9" s="94">
        <f>COUNTIF('Master Matrix'!$L:$L,"Tier 1-2")</f>
        <v>67</v>
      </c>
      <c r="H9" s="94" t="inlineStr">
        <is>
          <t>Strong motif with plausible interpretive layer.</t>
        </is>
      </c>
      <c r="J9" s="60" t="inlineStr">
        <is>
          <t>Partial fit</t>
        </is>
      </c>
      <c r="K9" s="60">
        <f>COUNTIF('Master Matrix'!$AC:$AC,"Partial fit")</f>
        <v>13</v>
      </c>
      <c r="N9" s="90" t="inlineStr">
        <is>
          <t>Ancient variant / reception</t>
        </is>
      </c>
      <c r="O9" s="90">
        <f>COUNTIF('Master Matrix'!$AE:$AE,N9)</f>
        <v>1</v>
      </c>
    </row>
    <row r="10" ht="122.25" customHeight="1" s="61">
      <c r="A10" s="94" t="inlineStr">
        <is>
          <t>RF-01</t>
        </is>
      </c>
      <c r="B10" s="94" t="inlineStr">
        <is>
          <t>Rebel Blood / Embedded Remainder</t>
        </is>
      </c>
      <c r="C10" s="94">
        <f>COUNTIF('Master Matrix'!$B:$B,A10)</f>
        <v>8</v>
      </c>
      <c r="D10" s="94" t="inlineStr">
        <is>
          <t>Refusal, rebel material, or unauthorized knowledge becomes built into humans/culture.</t>
        </is>
      </c>
      <c r="F10" s="94" t="inlineStr">
        <is>
          <t>Tier 2</t>
        </is>
      </c>
      <c r="G10" s="94">
        <f>COUNTIF('Master Matrix'!$L:$L,"Tier 2")</f>
        <v>14</v>
      </c>
      <c r="H10" s="94" t="inlineStr">
        <is>
          <t>Plausible comparative reading; source pass required.</t>
        </is>
      </c>
      <c r="J10" s="60" t="inlineStr">
        <is>
          <t>Poor fit</t>
        </is>
      </c>
      <c r="K10" s="60">
        <f>COUNTIF('Master Matrix'!$AC:$AC,"Poor fit")</f>
        <v>0</v>
      </c>
      <c r="N10" s="90" t="inlineStr">
        <is>
          <t>Medieval / early-modern literary</t>
        </is>
      </c>
      <c r="O10" s="90">
        <f>COUNTIF('Master Matrix'!$AE:$AE,N10)</f>
        <v>4</v>
      </c>
    </row>
    <row r="11" ht="122.25" customHeight="1" s="61">
      <c r="A11" s="94" t="inlineStr">
        <is>
          <t>DF-01</t>
        </is>
      </c>
      <c r="B11" s="94" t="inlineStr">
        <is>
          <t>Demonized Feminine / Unadministrable Woman</t>
        </is>
      </c>
      <c r="C11" s="94">
        <f>COUNTIF('Master Matrix'!$B:$B,A11)</f>
        <v>5</v>
      </c>
      <c r="D11" s="94" t="inlineStr">
        <is>
          <t>Female generative, sexual, birth/death, land, or sovereign power is monstered or split.</t>
        </is>
      </c>
      <c r="F11" s="94" t="inlineStr">
        <is>
          <t>Tier 3</t>
        </is>
      </c>
      <c r="G11" s="94">
        <f>COUNTIF('Master Matrix'!$L:$L,"Tier 3")</f>
        <v>0</v>
      </c>
      <c r="H11" s="94" t="inlineStr">
        <is>
          <t>Deep speculative rope bridge; do not carry argument alone.</t>
        </is>
      </c>
      <c r="J11" s="60" t="inlineStr">
        <is>
          <t>Counterexample</t>
        </is>
      </c>
      <c r="K11" s="60">
        <f>COUNTIF('Master Matrix'!$AC:$AC,"Counterexample")</f>
        <v>7</v>
      </c>
      <c r="N11" s="90" t="inlineStr">
        <is>
          <t>Later literary reception</t>
        </is>
      </c>
      <c r="O11" s="90">
        <f>COUNTIF('Master Matrix'!$AE:$AE,N11)</f>
        <v>1</v>
      </c>
    </row>
    <row r="12" ht="108.75" customHeight="1" s="61">
      <c r="A12" s="94" t="inlineStr">
        <is>
          <t>TR-01</t>
        </is>
      </c>
      <c r="B12" s="94" t="inlineStr">
        <is>
          <t>Trickster / Unauthorized Intelligence</t>
        </is>
      </c>
      <c r="C12" s="94">
        <f>COUNTIF('Master Matrix'!$B:$B,A12)</f>
        <v>5</v>
      </c>
      <c r="D12" s="94" t="inlineStr">
        <is>
          <t>Boundary-crosser uses cunning, theft, humor, or loopholes to move culture forward.</t>
        </is>
      </c>
      <c r="J12" s="60" t="inlineStr">
        <is>
          <t>Not yet tested</t>
        </is>
      </c>
      <c r="K12" s="60">
        <f>COUNTIF('Master Matrix'!$AC:$AC,"Not yet tested")</f>
        <v>51</v>
      </c>
      <c r="N12" s="90" t="inlineStr">
        <is>
          <t>Mixed — separate layers</t>
        </is>
      </c>
      <c r="O12" s="90">
        <f>COUNTIF('Master Matrix'!$AE:$AE,N12)</f>
        <v>10</v>
      </c>
    </row>
    <row r="13" ht="108.75" customHeight="1" s="61">
      <c r="A13" s="94" t="inlineStr">
        <is>
          <t>SC-01</t>
        </is>
      </c>
      <c r="B13" s="94" t="inlineStr">
        <is>
          <t>Scapegoat / Founding Violence</t>
        </is>
      </c>
      <c r="C13" s="94">
        <f>COUNTIF('Master Matrix'!$B:$B,A13)</f>
        <v>3</v>
      </c>
      <c r="D13" s="94" t="inlineStr">
        <is>
          <t>A body absorbs social violence; murder or expulsion stabilizes the group.</t>
        </is>
      </c>
      <c r="N13" s="90" t="inlineStr">
        <is>
          <t>Project invention</t>
        </is>
      </c>
      <c r="O13" s="90">
        <f>COUNTIF('Master Matrix'!$AE:$AE,N13)</f>
        <v>0</v>
      </c>
    </row>
    <row r="14" ht="95.25" customHeight="1" s="61">
      <c r="A14" s="94" t="inlineStr">
        <is>
          <t>FM-01</t>
        </is>
      </c>
      <c r="B14" s="94" t="inlineStr">
        <is>
          <t>Flood / Reset Memory</t>
        </is>
      </c>
      <c r="C14" s="94">
        <f>COUNTIF('Master Matrix'!$B:$B,A14)</f>
        <v>3</v>
      </c>
      <c r="D14" s="94" t="inlineStr">
        <is>
          <t>Water catastrophe or social reset becomes moral/cosmic narrative.</t>
        </is>
      </c>
      <c r="J14" s="60" t="inlineStr">
        <is>
          <t>Untested share</t>
        </is>
      </c>
      <c r="K14" s="95">
        <f>IFERROR(K12/COUNTA('Master Matrix'!$A$2:$A$200),"")</f>
        <v>0.607142857142857</v>
      </c>
      <c r="N14" s="90" t="inlineStr">
        <is>
          <t>Legacy — not yet tagged</t>
        </is>
      </c>
      <c r="O14" s="90">
        <f>COUNTIF('Master Matrix'!$AE:$AE,N14)</f>
        <v>53</v>
      </c>
    </row>
    <row r="15" ht="95.25" customHeight="1" s="61">
      <c r="A15" s="94" t="inlineStr">
        <is>
          <t>SG-01</t>
        </is>
      </c>
      <c r="B15" s="94" t="inlineStr">
        <is>
          <t>Sacred Geography / Land Claim</t>
        </is>
      </c>
      <c r="C15" s="94">
        <f>COUNTIF('Master Matrix'!$B:$B,A15)</f>
        <v>1</v>
      </c>
      <c r="D15" s="94" t="inlineStr">
        <is>
          <t>Mountain, spring, cave, grove, river, or boundary becomes divine proof of belonging.</t>
        </is>
      </c>
      <c r="J15" s="96" t="inlineStr">
        <is>
          <t>Read this block as an audit gap, not a score. A cluster with no Poor fit and no Counterexample has not been tested against anything.</t>
        </is>
      </c>
      <c r="N15" s="90" t="n"/>
      <c r="O15" s="90" t="n"/>
    </row>
    <row r="16" ht="40" customHeight="1" s="61">
      <c r="A16" s="94" t="inlineStr">
        <is>
          <t>DT-01</t>
        </is>
      </c>
      <c r="B16" s="94" t="inlineStr">
        <is>
          <t>Death-Admin / Refusal of Closure</t>
        </is>
      </c>
      <c r="C16" s="94">
        <f>COUNTIF('Master Matrix'!$B:$B,A16)</f>
        <v>6</v>
      </c>
      <c r="D16" s="94" t="inlineStr">
        <is>
          <t>Underworld, judgment, resurrection, or return prevents power from having final say.</t>
        </is>
      </c>
      <c r="N16" s="90" t="inlineStr">
        <is>
          <t>Legacy rows remain explicitly queued for evidence-mode backfill; they are not silently treated as primary-text core.</t>
        </is>
      </c>
      <c r="O16" s="90" t="n"/>
    </row>
    <row r="17" ht="122.25" customHeight="1" s="61">
      <c r="A17" s="94" t="inlineStr">
        <is>
          <t>BW-01</t>
        </is>
      </c>
      <c r="B17" s="94" t="inlineStr">
        <is>
          <t>Birth Threshold / Warding Power</t>
        </is>
      </c>
      <c r="C17" s="94">
        <f>COUNTIF('Master Matrix'!$B:$B,A17)</f>
        <v>1</v>
      </c>
      <c r="D17" s="94" t="inlineStr">
        <is>
          <t>Childbirth, infant death, disease, milk, and postpartum danger are personified and ritually managed.</t>
        </is>
      </c>
    </row>
    <row r="18" ht="135.75" customHeight="1" s="61">
      <c r="A18" s="94" t="inlineStr">
        <is>
          <t>AD-01</t>
        </is>
      </c>
      <c r="B18" s="94" t="inlineStr">
        <is>
          <t>Asha / Druj Functional Lens</t>
        </is>
      </c>
      <c r="C18" s="94">
        <f>COUNTIF('Master Matrix'!$B:$B,A18)</f>
        <v>3</v>
      </c>
      <c r="D18" s="94" t="inlineStr">
        <is>
          <t>Not good vs evil: coherence/truth-pattern versus distortion/rupture, including lawful distortion.</t>
        </is>
      </c>
    </row>
    <row r="19" ht="135.75" customHeight="1" s="61">
      <c r="A19" s="94" t="inlineStr">
        <is>
          <t>CC-01</t>
        </is>
      </c>
      <c r="B19" s="94" t="inlineStr">
        <is>
          <t>Sacred Contract / Covenant Capture</t>
        </is>
      </c>
      <c r="C19" s="94">
        <f>COUNTIF('Master Matrix'!$B:$B,A19)</f>
        <v>3</v>
      </c>
      <c r="D19" s="94" t="inlineStr">
        <is>
          <t>Contract/oath/debt ported into the sacred and made permanent; mandatory interpreter. Founding row CC-001.</t>
        </is>
      </c>
    </row>
    <row r="20" ht="18" customHeight="1" s="61">
      <c r="A20" s="94" t="inlineStr">
        <is>
          <t>UF-01</t>
        </is>
      </c>
      <c r="B20" s="94" t="inlineStr">
        <is>
          <t>Uncontained / Co-opted Feminine</t>
        </is>
      </c>
      <c r="C20" s="94">
        <f>COUNTIF('Master Matrix'!$B:$B,A20)</f>
        <v>8</v>
      </c>
      <c r="D20" s="94" t="inlineStr">
        <is>
          <t>Power too total to split — venerated, harnessed (sacred-marriage kingship), or left as paradox; the co-option pole DF-01 was conflating. Inanna (UF-001), Kali (UF-002).</t>
        </is>
      </c>
    </row>
    <row r="21" ht="15" customHeight="1" s="61">
      <c r="A21" s="94" t="inlineStr">
        <is>
          <t>DV-01</t>
        </is>
      </c>
      <c r="B21" s="94" t="inlineStr">
        <is>
          <t>Divination / Gatekeeping the Divine Will</t>
        </is>
      </c>
      <c r="C21" s="94">
        <f>COUNTIF('Master Matrix'!$B:$B,A21)</f>
        <v>4</v>
      </c>
      <c r="D21" s="94" t="inlineStr">
        <is>
          <t>Divination as the mandatory-interpreter gate: tamītu (binary query), Delphi (ambiguous utterance), Rome (state veto), Shang (royal monopoly)</t>
        </is>
      </c>
    </row>
    <row r="22" ht="15" customHeight="1" s="61">
      <c r="A22" s="94" t="inlineStr">
        <is>
          <t>DR-01</t>
        </is>
      </c>
      <c r="B22" s="94" t="inlineStr">
        <is>
          <t>Distributed Remainder / Surviving the Center's Fall</t>
        </is>
      </c>
      <c r="C22" s="94">
        <f>COUNTIF('Master Matrix'!$B:$B,A22)</f>
        <v>3</v>
      </c>
      <c r="D22" s="94" t="inlineStr">
        <is>
          <t>Counterpoint: signal survives a center's fall by distributing (Pharisees, Reformation, post-Buddha) — then re-concentrates</t>
        </is>
      </c>
    </row>
    <row r="23" ht="34.5" customHeight="1" s="61">
      <c r="A23" s="97" t="inlineStr">
        <is>
          <t>VA-01</t>
        </is>
      </c>
      <c r="B23" s="97" t="inlineStr">
        <is>
          <t>Voice / Authorship / Signal Capture</t>
        </is>
      </c>
      <c r="C23" s="97">
        <f>COUNTIF('Master Matrix'!$B:$B,A23)</f>
        <v>7</v>
      </c>
      <c r="D23" s="97" t="inlineStr">
        <is>
          <t>Origin, repetition, transmission, record, credibility, and circulation are separate controls.</t>
        </is>
      </c>
    </row>
    <row r="24" ht="34.5" customHeight="1" s="61">
      <c r="A24" s="97" t="inlineStr">
        <is>
          <t>TH-01</t>
        </is>
      </c>
      <c r="B24" s="97" t="inlineStr">
        <is>
          <t>Threshold / Exit / Jurisdiction</t>
        </is>
      </c>
      <c r="C24" s="97">
        <f>COUNTIF('Master Matrix'!$B:$B,A24)</f>
        <v>8</v>
      </c>
      <c r="D24" s="97" t="inlineStr">
        <is>
          <t>Real gates, passage rules, exit costs, route closure, escort, and jurisdiction conflict.</t>
        </is>
      </c>
    </row>
    <row r="25" ht="34.5" customHeight="1" s="61">
      <c r="A25" s="97" t="inlineStr">
        <is>
          <t>CO-01</t>
        </is>
      </c>
      <c r="B25" s="97" t="inlineStr">
        <is>
          <t>Capture by Office / Promotion</t>
        </is>
      </c>
      <c r="C25" s="97">
        <f>COUNTIF('Master Matrix'!$B:$B,A25)</f>
        <v>6</v>
      </c>
      <c r="D25" s="97" t="inlineStr">
        <is>
          <t>Prior disruption plus offered title/honor: test neutralization against real inclusion and counterexamples.</t>
        </is>
      </c>
    </row>
    <row r="26" ht="15" customHeight="1" s="61">
      <c r="A26" s="98" t="inlineStr">
        <is>
          <t>Immediate Work Queue</t>
        </is>
      </c>
    </row>
    <row r="27" ht="15" customHeight="1" s="61">
      <c r="A27" s="99" t="inlineStr">
        <is>
          <t>Step</t>
        </is>
      </c>
      <c r="B27" s="99" t="inlineStr">
        <is>
          <t>Task</t>
        </is>
      </c>
      <c r="C27" s="99" t="inlineStr">
        <is>
          <t>Target Sheet</t>
        </is>
      </c>
      <c r="D27" s="99" t="inlineStr">
        <is>
          <t>Done?</t>
        </is>
      </c>
      <c r="E27" s="99" t="inlineStr">
        <is>
          <t>Notes</t>
        </is>
      </c>
      <c r="F27" s="99" t="n"/>
      <c r="G27" s="99" t="n"/>
      <c r="H27" s="99" t="n"/>
    </row>
    <row r="28" ht="15" customHeight="1" s="61">
      <c r="A28" s="94" t="n">
        <v>1</v>
      </c>
      <c r="B28" s="94" t="inlineStr">
        <is>
          <t>Run PB-01 cluster through MR-01 and MR-04</t>
        </is>
      </c>
      <c r="C28" s="94" t="inlineStr">
        <is>
          <t>Model Run Prompts</t>
        </is>
      </c>
      <c r="D28" s="94" t="n"/>
      <c r="E28" s="94" t="inlineStr">
        <is>
          <t>Start with Tiamat/Ymir/Tlaltecuhtli/Purusha/Pangu.</t>
        </is>
      </c>
      <c r="F28" s="94" t="n"/>
      <c r="G28" s="94" t="n"/>
      <c r="H28" s="94" t="n"/>
    </row>
    <row r="29" ht="15" customHeight="1" s="61">
      <c r="A29" s="94" t="n">
        <v>2</v>
      </c>
      <c r="B29" s="94" t="inlineStr">
        <is>
          <t>Do source pass for Enuma Elish + Atrahasis</t>
        </is>
      </c>
      <c r="C29" s="94" t="inlineStr">
        <is>
          <t>Source Pass Queue</t>
        </is>
      </c>
      <c r="D29" s="94" t="n"/>
      <c r="E29" s="94" t="inlineStr">
        <is>
          <t>Lock the strongest Mesopotamian rows first.</t>
        </is>
      </c>
      <c r="F29" s="94" t="n"/>
      <c r="G29" s="94" t="n"/>
      <c r="H29" s="94" t="n"/>
    </row>
    <row r="30">
      <c r="A30" s="94" t="n">
        <v>3</v>
      </c>
      <c r="B30" s="94" t="inlineStr">
        <is>
          <t>Build Mesoamerican lane</t>
        </is>
      </c>
      <c r="C30" s="94" t="inlineStr">
        <is>
          <t>Regional Lanes</t>
        </is>
      </c>
      <c r="D30" s="94" t="n"/>
      <c r="E30" s="94" t="inlineStr">
        <is>
          <t>Separate Nahua/Mexica from Maya; do not flatten.</t>
        </is>
      </c>
      <c r="F30" s="94" t="n"/>
      <c r="G30" s="94" t="n"/>
      <c r="H30" s="94" t="n"/>
    </row>
    <row r="31">
      <c r="A31" s="94" t="n">
        <v>4</v>
      </c>
      <c r="B31" s="94" t="inlineStr">
        <is>
          <t>Add source URLs/citations</t>
        </is>
      </c>
      <c r="C31" s="94" t="inlineStr">
        <is>
          <t>Master Matrix</t>
        </is>
      </c>
      <c r="D31" s="94" t="n"/>
      <c r="E31" s="94" t="inlineStr">
        <is>
          <t>Primary source first; secondary source second.</t>
        </is>
      </c>
      <c r="F31" s="94" t="n"/>
      <c r="G31" s="94" t="n"/>
      <c r="H31" s="94" t="n"/>
    </row>
    <row r="32">
      <c r="A32" s="94" t="n">
        <v>5</v>
      </c>
      <c r="B32" s="94" t="inlineStr">
        <is>
          <t>Downgrade or remove weak parallels</t>
        </is>
      </c>
      <c r="C32" s="94" t="inlineStr">
        <is>
          <t>Model Review Log</t>
        </is>
      </c>
      <c r="D32" s="94" t="n"/>
      <c r="E32" s="94" t="inlineStr">
        <is>
          <t>Counterexamples improve the matrix.</t>
        </is>
      </c>
      <c r="F32" s="94" t="n"/>
      <c r="G32" s="94" t="n"/>
      <c r="H32" s="94" t="n"/>
    </row>
  </sheetData>
  <mergeCells count="2">
    <mergeCell ref="N16:O16"/>
    <mergeCell ref="A1:H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ns1:id="rId1"/>
</worksheet>
</file>

<file path=xl/worksheets/sheet3.xml><?xml version="1.0" encoding="utf-8"?>
<worksheet xmlns="http://schemas.openxmlformats.org/spreadsheetml/2006/main">
  <sheetPr filterMode="0">
    <outlinePr summaryBelow="1" summaryRight="1"/>
    <pageSetUpPr fitToPage="0"/>
  </sheetPr>
  <dimension ref="A1:AG85"/>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Right"/>
      <selection pane="bottomLeft"/>
      <selection pane="bottomRigh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0" customWidth="1" style="84" min="1" max="1"/>
    <col width="12" customWidth="1" style="84" min="2" max="2"/>
    <col width="24" customWidth="1" style="84" min="3" max="3"/>
    <col width="20" customWidth="1" style="84" min="4" max="5"/>
    <col width="34" customWidth="1" style="84" min="6" max="8"/>
    <col width="32" customWidth="1" style="84" min="9" max="10"/>
    <col width="26" customWidth="1" style="84" min="11" max="11"/>
    <col width="12" customWidth="1" style="84" min="12" max="12"/>
    <col width="18" customWidth="1" style="84" min="13" max="13"/>
    <col width="34" customWidth="1" style="84" min="14" max="14"/>
    <col width="20" customWidth="1" style="84" min="15" max="15"/>
    <col width="30" customWidth="1" style="84" min="16" max="16"/>
    <col width="34" customWidth="1" style="84" min="17" max="17"/>
    <col width="28" customWidth="1" style="84" min="18" max="18"/>
    <col width="18" customWidth="1" style="84" min="19" max="19"/>
    <col width="28" customWidth="1" style="84" min="20" max="20"/>
    <col width="18" customWidth="1" style="84" min="21" max="21"/>
    <col width="24" customWidth="1" style="84" min="22" max="22"/>
    <col width="30" customWidth="1" style="84" min="23" max="23"/>
    <col width="16" customWidth="1" style="60" min="24" max="26"/>
    <col width="18" customWidth="1" style="60" min="27" max="27"/>
    <col width="46" customWidth="1" style="60" min="28" max="28"/>
    <col width="15" customWidth="1" style="60" min="29" max="29"/>
    <col width="52" customWidth="1" style="60" min="30" max="30"/>
    <col width="27" customWidth="1" style="61" min="31" max="31"/>
    <col width="52" customWidth="1" style="61" min="32" max="32"/>
    <col width="24" customWidth="1" style="61" min="33" max="33"/>
  </cols>
  <sheetData>
    <row r="1" ht="27.75" customHeight="1" s="61">
      <c r="A1" s="100" t="inlineStr">
        <is>
          <t>ID</t>
        </is>
      </c>
      <c r="B1" s="100" t="inlineStr">
        <is>
          <t>Cluster ID</t>
        </is>
      </c>
      <c r="C1" s="100" t="inlineStr">
        <is>
          <t>Cluster Name</t>
        </is>
      </c>
      <c r="D1" s="100" t="inlineStr">
        <is>
          <t>Sub-type / Capture Mode</t>
        </is>
      </c>
      <c r="E1" s="100" t="inlineStr">
        <is>
          <t>Tradition / Region</t>
        </is>
      </c>
      <c r="F1" s="100" t="inlineStr">
        <is>
          <t>Figure / Myth</t>
        </is>
      </c>
      <c r="G1" s="100" t="inlineStr">
        <is>
          <t>Surface Story</t>
        </is>
      </c>
      <c r="H1" s="100" t="inlineStr">
        <is>
          <t>Monkey-Politics Read</t>
        </is>
      </c>
      <c r="I1" s="100" t="inlineStr">
        <is>
          <t>Priesthood-Function Move</t>
        </is>
      </c>
      <c r="J1" s="100" t="inlineStr">
        <is>
          <t>Remainder / What Survives</t>
        </is>
      </c>
      <c r="K1" s="100" t="inlineStr">
        <is>
          <t>Primary Parallels</t>
        </is>
      </c>
      <c r="L1" s="100" t="inlineStr">
        <is>
          <t>Confidence Tier</t>
        </is>
      </c>
      <c r="M1" s="100" t="inlineStr">
        <is>
          <t>Verification Status</t>
        </is>
      </c>
      <c r="N1" s="100" t="inlineStr">
        <is>
          <t>Notes / Warnings</t>
        </is>
      </c>
      <c r="O1" s="100" t="inlineStr">
        <is>
          <t>Source Anchor</t>
        </is>
      </c>
      <c r="P1" s="101" t="inlineStr">
        <is>
          <t>Primary Text / Artifact to Verify</t>
        </is>
      </c>
      <c r="Q1" s="101" t="inlineStr">
        <is>
          <t>Passage / Lines Needed</t>
        </is>
      </c>
      <c r="R1" s="101" t="inlineStr">
        <is>
          <t>Secondary Scholarship Lead</t>
        </is>
      </c>
      <c r="S1" s="101" t="inlineStr">
        <is>
          <t>Model Review Prompt</t>
        </is>
      </c>
      <c r="T1" s="101" t="inlineStr">
        <is>
          <t>Model Notes</t>
        </is>
      </c>
      <c r="U1" s="101" t="inlineStr">
        <is>
          <t>Overclaim Risk</t>
        </is>
      </c>
      <c r="V1" s="101" t="inlineStr">
        <is>
          <t>Next Action</t>
        </is>
      </c>
      <c r="W1" s="101" t="inlineStr">
        <is>
          <t>Source URL / Citation</t>
        </is>
      </c>
      <c r="X1" s="101" t="inlineStr">
        <is>
          <t>Last Reviewed</t>
        </is>
      </c>
      <c r="Y1" s="102" t="inlineStr">
        <is>
          <t>Motif Evidence Tier</t>
        </is>
      </c>
      <c r="Z1" s="102" t="inlineStr">
        <is>
          <t>Interpretation Tier</t>
        </is>
      </c>
      <c r="AA1" s="102" t="inlineStr">
        <is>
          <t>Row Status</t>
        </is>
      </c>
      <c r="AB1" s="102" t="inlineStr">
        <is>
          <t>Predicted-But-Absent (frame test)</t>
        </is>
      </c>
      <c r="AC1" s="102" t="inlineStr">
        <is>
          <t>Fit Verdict</t>
        </is>
      </c>
      <c r="AD1" s="102" t="inlineStr">
        <is>
          <t>Strongest Counter-Reading</t>
        </is>
      </c>
      <c r="AE1" s="103" t="inlineStr">
        <is>
          <t>Evidence Mode</t>
        </is>
      </c>
      <c r="AF1" s="103" t="inlineStr">
        <is>
          <t>Adaptation Boundary / Project Invention</t>
        </is>
      </c>
      <c r="AG1" s="103" t="inlineStr">
        <is>
          <t>Secondary Cluster(s)</t>
        </is>
      </c>
    </row>
    <row r="2" ht="41.25" customHeight="1" s="61">
      <c r="A2" s="94" t="inlineStr">
        <is>
          <t>PB-001</t>
        </is>
      </c>
      <c r="B2" s="94" t="inlineStr">
        <is>
          <t>PB-01</t>
        </is>
      </c>
      <c r="C2" s="94" t="inlineStr">
        <is>
          <t>Primordial Body / Corpse-World</t>
        </is>
      </c>
      <c r="D2" s="94" t="n"/>
      <c r="E2" s="94" t="inlineStr">
        <is>
          <t>Babylonian / Mesopotamian</t>
        </is>
      </c>
      <c r="F2" s="94" t="inlineStr">
        <is>
          <t>Tiamat</t>
        </is>
      </c>
      <c r="G2" s="94" t="inlineStr">
        <is>
          <t>Sea/chaos mother defeated by Marduk; her body becomes ordered cosmos.</t>
        </is>
      </c>
      <c r="H2" s="94" t="inlineStr">
        <is>
          <t>Prior generative order is demonized and butchered by the new regime.</t>
        </is>
      </c>
      <c r="I2" s="94" t="inlineStr">
        <is>
          <t>Narrative heist: violence becomes cosmic order and kingly legitimacy.</t>
        </is>
      </c>
      <c r="J2" s="94" t="inlineStr">
        <is>
          <t>Chaos/sea/mother power remains as the buried body of the world.</t>
        </is>
      </c>
      <c r="K2" s="94" t="inlineStr">
        <is>
          <t>Ymir; Tlaltecuhtli; Leviathan/Yam; Vritra</t>
        </is>
      </c>
      <c r="L2" s="94" t="inlineStr">
        <is>
          <t>Tier 1-2</t>
        </is>
      </c>
      <c r="M2" s="94" t="inlineStr">
        <is>
          <t>Anchored (v0.20); tablet/line refs entered, primary NOT opened in-edition</t>
        </is>
      </c>
      <c r="N2" s="94" t="inlineStr">
        <is>
          <t>Use as a structural comparator, not proof of one origin.
[v0.20 source-pass] Ee IV is a clean anchor for corpse -&gt; cosmos. The body -&gt; landscape detail sits on Tablet V, the epic's most damaged tablet: do not quote V without checking the lacunae. Tiers untouched.</t>
        </is>
      </c>
      <c r="O2" s="94" t="inlineStr">
        <is>
          <t>MFM §7; PF case study 1</t>
        </is>
      </c>
      <c r="P2" s="94" t="inlineStr">
        <is>
          <t>Enuma Elis, Tablet IV (killing and splitting) + Tablet V (body -&gt; cosmic features). Critical edition: Lambert 2013. Translation: Dalley 2000.</t>
        </is>
      </c>
      <c r="Q2" s="94" t="inlineStr">
        <is>
          <t>Ee IV 93-104 (net, winds, arrow); IV 129-132 (skull smashed with the mace, arteries severed); IV 135-140 (corpse surveyed, split 'like a dried fish', one half raised as the sky, skin stretched with guards posted to hold the waters back); IV 137-146 attested as the heavens-from-corpse passage. Tablet V for the body -&gt; landscape mapping (rivers from the eyes, mountains from the breasts). IV lines are securely attested; V lines are NOT - Tablet V is the most damaged tablet in the epic and partly reconstructed from a Sultantepe duplicate. Confirm what survives before quoting V.</t>
        </is>
      </c>
      <c r="R2" s="94" t="inlineStr">
        <is>
          <t>Lambert, W. G., Babylonian Creation Myths (Eisenbrauns, 2013) = standard critical edition. Dalley, S., Myths from Mesopotamia, rev. ed. (OUP, 2000) = working translation. Talon, SAACT 4. eBL (electronic Babylonian Library) for the composite text and line numbering.</t>
        </is>
      </c>
      <c r="S2" s="94" t="inlineStr">
        <is>
          <t>Use MR-01 + MR-03</t>
        </is>
      </c>
      <c r="T2" s="94" t="n"/>
      <c r="U2" s="94" t="inlineStr">
        <is>
          <t>Medium until source pass complete</t>
        </is>
      </c>
      <c r="V2" s="94" t="inlineStr">
        <is>
          <t>Run model review, then source-pass
[v0.20 source-pass] Open Lambert 2013 / eBL and pin exact V lines. Then M -&gt; Sourced.</t>
        </is>
      </c>
      <c r="W2" s="94" t="inlineStr">
        <is>
          <t>Lambert 2013, Babylonian Creation Myths, Eisenbrauns | Dalley 2000, Myths from Mesopotamia, OUP: Tablet I at p. 234, Tablet II at pp. 243-244, Tablet VI at p. 261 (pages verified via secondary quotation, not opened in-edition)</t>
        </is>
      </c>
      <c r="X2" s="94" t="inlineStr">
        <is>
          <t>2026-07-29</t>
        </is>
      </c>
      <c r="Y2" s="86" t="inlineStr">
        <is>
          <t>Tier 1</t>
        </is>
      </c>
      <c r="Z2" s="86" t="inlineStr">
        <is>
          <t>Tier 1-2</t>
        </is>
      </c>
      <c r="AA2" s="104" t="inlineStr">
        <is>
          <t>Load-bearing</t>
        </is>
      </c>
      <c r="AB2" s="86" t="inlineStr">
        <is>
          <t>None identified. Corpse -&gt; cosmos and the state-ritual use are both present in the primary.</t>
        </is>
      </c>
      <c r="AC2" s="86" t="inlineStr">
        <is>
          <t>Fits</t>
        </is>
      </c>
      <c r="AD2" s="86" t="inlineStr">
        <is>
          <t>The 'conquest of the feminine' reading is contested. Tiamat may function as an undifferentiated cosmological principle rather than a displaced political predecessor, and she is sympathetic in Tablet I - monstrous only after provocation. That cuts against reading her as demonised from the outset.</t>
        </is>
      </c>
      <c r="AE2" s="105" t="inlineStr">
        <is>
          <t>Legacy — not yet tagged</t>
        </is>
      </c>
      <c r="AF2" s="105" t="n"/>
      <c r="AG2" s="105" t="n"/>
    </row>
    <row r="3" ht="41.25" customHeight="1" s="61">
      <c r="A3" s="94" t="inlineStr">
        <is>
          <t>PB-002</t>
        </is>
      </c>
      <c r="B3" s="94" t="inlineStr">
        <is>
          <t>PB-01</t>
        </is>
      </c>
      <c r="C3" s="94" t="inlineStr">
        <is>
          <t>Primordial Body / Corpse-World</t>
        </is>
      </c>
      <c r="D3" s="94" t="n"/>
      <c r="E3" s="94" t="inlineStr">
        <is>
          <t>Norse</t>
        </is>
      </c>
      <c r="F3" s="94" t="inlineStr">
        <is>
          <t>Ymir</t>
        </is>
      </c>
      <c r="G3" s="94" t="inlineStr">
        <is>
          <t>Primordial giant killed by Odin and brothers; body becomes world.</t>
        </is>
      </c>
      <c r="H3" s="94" t="inlineStr">
        <is>
          <t>Older giant/ancestor body is converted into divine infrastructure.</t>
        </is>
      </c>
      <c r="I3" s="94" t="inlineStr">
        <is>
          <t>Embedded remainder: old body becomes foundation of new order.</t>
        </is>
      </c>
      <c r="J3" s="94" t="inlineStr">
        <is>
          <t>Jötnar remain kin/enemy; prior order is never fully erased.</t>
        </is>
      </c>
      <c r="K3" s="94" t="inlineStr">
        <is>
          <t>Tiamat; Tlaltecuhtli; Purusha; Pangu</t>
        </is>
      </c>
      <c r="L3" s="94" t="inlineStr">
        <is>
          <t>Tier 1-2</t>
        </is>
      </c>
      <c r="M3" s="94" t="inlineStr">
        <is>
          <t>Needs source pass</t>
        </is>
      </c>
      <c r="N3" s="94" t="inlineStr">
        <is>
          <t>Not the same deity as Tiamat; same function cluster.</t>
        </is>
      </c>
      <c r="O3" s="94" t="inlineStr">
        <is>
          <t>Comparative candidate</t>
        </is>
      </c>
      <c r="P3" s="94" t="inlineStr">
        <is>
          <t>TBD: identify primary text/artifact</t>
        </is>
      </c>
      <c r="Q3" s="94" t="inlineStr">
        <is>
          <t>TBD: exact passage, tablet, chapter, hymn, codex plate, or oral-transcription source</t>
        </is>
      </c>
      <c r="R3" s="94" t="inlineStr">
        <is>
          <t>TBD: one reputable secondary source</t>
        </is>
      </c>
      <c r="S3" s="94" t="inlineStr">
        <is>
          <t>Use MR-01 + MR-03</t>
        </is>
      </c>
      <c r="T3" s="94" t="n"/>
      <c r="U3" s="94" t="inlineStr">
        <is>
          <t>Medium until source pass complete</t>
        </is>
      </c>
      <c r="V3" s="94" t="inlineStr">
        <is>
          <t>Run model review, then source-pass</t>
        </is>
      </c>
      <c r="W3" s="94" t="n"/>
      <c r="X3" s="94" t="n"/>
      <c r="Y3" s="86" t="inlineStr">
        <is>
          <t>Tier 1</t>
        </is>
      </c>
      <c r="Z3" s="86" t="inlineStr">
        <is>
          <t>Tier 2</t>
        </is>
      </c>
      <c r="AA3" s="106" t="inlineStr">
        <is>
          <t>Supportive</t>
        </is>
      </c>
      <c r="AB3" s="86" t="inlineStr">
        <is>
          <t>No state cult, no ritual re-performance, no institution shown using the Ymir cosmogony for legitimation. PB-01's political-capture half is absent; only the body -&gt; world half is present.</t>
        </is>
      </c>
      <c r="AC3" s="86" t="inlineStr">
        <is>
          <t>Partial fit</t>
        </is>
      </c>
      <c r="AD3" s="86" t="inlineStr">
        <is>
          <t>Snorri's Gylfaginning is c. 1220 CE, roughly two centuries after Iceland's conversion, and is a Christian antiquarian systematising fragmentary verse. The tidiness of the corpse-world mapping may be Snorri's. Vafthrudnismal is the older witness - check what it actually supports before the row carries weight.</t>
        </is>
      </c>
      <c r="AE3" s="105" t="inlineStr">
        <is>
          <t>Legacy — not yet tagged</t>
        </is>
      </c>
      <c r="AF3" s="105" t="n"/>
      <c r="AG3" s="105" t="n"/>
    </row>
    <row r="4" ht="41.25" customHeight="1" s="61">
      <c r="A4" s="94" t="inlineStr">
        <is>
          <t>PB-003</t>
        </is>
      </c>
      <c r="B4" s="94" t="inlineStr">
        <is>
          <t>PB-01</t>
        </is>
      </c>
      <c r="C4" s="94" t="inlineStr">
        <is>
          <t>Primordial Body / Corpse-World</t>
        </is>
      </c>
      <c r="D4" s="94" t="n"/>
      <c r="E4" s="94" t="inlineStr">
        <is>
          <t>Nahua / Mexica</t>
        </is>
      </c>
      <c r="F4" s="94" t="inlineStr">
        <is>
          <t>Tlaltecuhtli</t>
        </is>
      </c>
      <c r="G4" s="94" t="inlineStr">
        <is>
          <t>Earth body/monster is torn apart or transformed to form habitable earth.</t>
        </is>
      </c>
      <c r="H4" s="94" t="inlineStr">
        <is>
          <t>Living earth-body is converted into land/infrastructure.</t>
        </is>
      </c>
      <c r="I4" s="94" t="inlineStr">
        <is>
          <t>Body-world creates ritual debt: the earth must be fed/maintained.</t>
        </is>
      </c>
      <c r="J4" s="94" t="inlineStr">
        <is>
          <t>Earth remains alive, hungry, and ritually demanding.</t>
        </is>
      </c>
      <c r="K4" s="94" t="inlineStr">
        <is>
          <t>Tiamat; Ymir; Coatlicue; Coyolxauhqui</t>
        </is>
      </c>
      <c r="L4" s="94" t="inlineStr">
        <is>
          <t>Tier 1-2</t>
        </is>
      </c>
      <c r="M4" s="86" t="inlineStr">
        <is>
          <t>Partial; Graulich verified; Histoire du Mechique folio owed</t>
        </is>
      </c>
      <c r="N4" s="86" t="inlineStr">
        <is>
          <t>Mesoamerican lane: likely crucial for body-world + ritual debt.
[v0.19.1 source-pass] Colonial witnesses. Graulich 1983 verified (confirm 'killed vs left alive' detail before quoting); Histoire du Mechique folio still owed. Support: partial. Tier unchanged.</t>
        </is>
      </c>
      <c r="O4" s="94" t="inlineStr">
        <is>
          <t>Comparative candidate</t>
        </is>
      </c>
      <c r="P4" s="86" t="inlineStr">
        <is>
          <t>Historia de los mexicanos por sus pinturas (Cipactli -&gt; earth -&gt; Tlaltecutli); Histoire du Mechique (de Jonghe ed.) for the tearing-in-two.</t>
        </is>
      </c>
      <c r="Q4" s="86" t="inlineStr">
        <is>
          <t>Hist. de los mexicanos ch. 2 paras 22 &amp; 29; Histoire du Mechique folio NOT pinned (still owed).</t>
        </is>
      </c>
      <c r="R4" s="86" t="inlineStr">
        <is>
          <t>Graulich, 'Myths of Paradise Lost in Pre-Hispanic Central Mexico,' Current Anthropology 24:5 (1983): 575-588. [VERIFIED - confirm the 'killed vs left alive' point before quoting]</t>
        </is>
      </c>
      <c r="S4" s="94" t="inlineStr">
        <is>
          <t>Use MR-01 + MR-03</t>
        </is>
      </c>
      <c r="T4" s="94" t="n"/>
      <c r="U4" s="94" t="inlineStr">
        <is>
          <t>Medium until source pass complete</t>
        </is>
      </c>
      <c r="V4" s="94" t="inlineStr">
        <is>
          <t>Run model review, then source-pass
[v0.19] Source-pass: source via colonial intermediary (Histoyre du Mechique); pin + living-tradition care (Nahua packet).</t>
        </is>
      </c>
      <c r="W4" s="86" t="inlineStr">
        <is>
          <t>Graulich 1983, Current Anthropology 24(5):575-588. doi.org/10.1086/203063</t>
        </is>
      </c>
      <c r="X4" s="94" t="n"/>
      <c r="Y4" s="86" t="inlineStr">
        <is>
          <t>Tier 2</t>
        </is>
      </c>
      <c r="Z4" s="86" t="inlineStr">
        <is>
          <t>Tier 2</t>
        </is>
      </c>
      <c r="AA4" s="107" t="inlineStr">
        <is>
          <t>Source-pass</t>
        </is>
      </c>
      <c r="AB4" s="86" t="n"/>
      <c r="AC4" s="86" t="inlineStr">
        <is>
          <t>Not yet tested</t>
        </is>
      </c>
      <c r="AD4" s="86" t="n"/>
      <c r="AE4" s="105" t="inlineStr">
        <is>
          <t>Legacy — not yet tagged</t>
        </is>
      </c>
      <c r="AF4" s="105" t="n"/>
      <c r="AG4" s="105" t="n"/>
    </row>
    <row r="5" ht="41.25" customHeight="1" s="61">
      <c r="A5" s="94" t="inlineStr">
        <is>
          <t>PB-004</t>
        </is>
      </c>
      <c r="B5" s="94" t="inlineStr">
        <is>
          <t>PB-01</t>
        </is>
      </c>
      <c r="C5" s="94" t="inlineStr">
        <is>
          <t>Primordial Body / Corpse-World</t>
        </is>
      </c>
      <c r="D5" s="94" t="n"/>
      <c r="E5" s="94" t="inlineStr">
        <is>
          <t>Vedic</t>
        </is>
      </c>
      <c r="F5" s="94" t="inlineStr">
        <is>
          <t>Purusha</t>
        </is>
      </c>
      <c r="G5" s="94" t="inlineStr">
        <is>
          <t>Cosmic being sacrificed; world and social order emerge from body.</t>
        </is>
      </c>
      <c r="H5" s="94" t="inlineStr">
        <is>
          <t>Sacrificial body becomes cosmos and social hierarchy.</t>
        </is>
      </c>
      <c r="I5" s="94" t="inlineStr">
        <is>
          <t>Sacrifice naturalizes order; body-politic becomes sacred structure.</t>
        </is>
      </c>
      <c r="J5" s="94" t="inlineStr">
        <is>
          <t>Social divisions persist as parts of a cosmic body.</t>
        </is>
      </c>
      <c r="K5" s="94" t="inlineStr">
        <is>
          <t>Ymir; Pangu; Tiamat; caste/body-politic patterns</t>
        </is>
      </c>
      <c r="L5" s="94" t="inlineStr">
        <is>
          <t>Tier 1-2</t>
        </is>
      </c>
      <c r="M5" s="94" t="inlineStr">
        <is>
          <t>Needs source pass</t>
        </is>
      </c>
      <c r="N5" s="94" t="inlineStr">
        <is>
          <t>Watch caste/order claims carefully; do not overflatten devotional meaning.</t>
        </is>
      </c>
      <c r="O5" s="94" t="inlineStr">
        <is>
          <t>Comparative candidate</t>
        </is>
      </c>
      <c r="P5" s="94" t="inlineStr">
        <is>
          <t>TBD: identify primary text/artifact</t>
        </is>
      </c>
      <c r="Q5" s="94" t="inlineStr">
        <is>
          <t>TBD: exact passage, tablet, chapter, hymn, codex plate, or oral-transcription source</t>
        </is>
      </c>
      <c r="R5" s="94" t="inlineStr">
        <is>
          <t>TBD: one reputable secondary source</t>
        </is>
      </c>
      <c r="S5" s="94" t="inlineStr">
        <is>
          <t>Use MR-01 + MR-03</t>
        </is>
      </c>
      <c r="T5" s="94" t="n"/>
      <c r="U5" s="94" t="inlineStr">
        <is>
          <t>Medium until source pass complete</t>
        </is>
      </c>
      <c r="V5" s="94" t="inlineStr">
        <is>
          <t>Run model review, then source-pass
[v0.19.1] Raised Source-pass -&gt; Supportive: RV 10.90 anchor is clean enough; interpretation still capped at Tier 2.</t>
        </is>
      </c>
      <c r="W5" s="94" t="n"/>
      <c r="X5" s="94" t="n"/>
      <c r="Y5" s="86" t="inlineStr">
        <is>
          <t>Tier 1</t>
        </is>
      </c>
      <c r="Z5" s="86" t="inlineStr">
        <is>
          <t>Tier 2</t>
        </is>
      </c>
      <c r="AA5" s="106" t="inlineStr">
        <is>
          <t>Supportive</t>
        </is>
      </c>
      <c r="AB5" s="86" t="inlineStr">
        <is>
          <t>No conquest, no adversary, no coup. The sacrifice is voluntary and self-generated, so PB-01's 'prior order destroyed by a new regime' element is missing entirely.</t>
        </is>
      </c>
      <c r="AC5" s="86" t="inlineStr">
        <is>
          <t>Partial fit</t>
        </is>
      </c>
      <c r="AD5" s="86" t="inlineStr">
        <is>
          <t>RV 10.90 is generally held to be among the latest hymns in the Rig Veda. The varna verse may record an emergent ritual homology rather than the codified caste order later read back into it. Verify with a Vedic specialist before this row supports any capture claim.</t>
        </is>
      </c>
      <c r="AE5" s="105" t="inlineStr">
        <is>
          <t>Legacy — not yet tagged</t>
        </is>
      </c>
      <c r="AF5" s="105" t="n"/>
      <c r="AG5" s="105" t="n"/>
    </row>
    <row r="6" ht="41.25" customHeight="1" s="61">
      <c r="A6" s="94" t="inlineStr">
        <is>
          <t>PB-005</t>
        </is>
      </c>
      <c r="B6" s="94" t="inlineStr">
        <is>
          <t>PB-01</t>
        </is>
      </c>
      <c r="C6" s="94" t="inlineStr">
        <is>
          <t>Primordial Body / Corpse-World</t>
        </is>
      </c>
      <c r="D6" s="94" t="n"/>
      <c r="E6" s="94" t="inlineStr">
        <is>
          <t>Chinese</t>
        </is>
      </c>
      <c r="F6" s="94" t="inlineStr">
        <is>
          <t>Pangu</t>
        </is>
      </c>
      <c r="G6" s="94" t="inlineStr">
        <is>
          <t>Primordial being separates heaven and earth; body becomes world after death.</t>
        </is>
      </c>
      <c r="H6" s="94" t="inlineStr">
        <is>
          <t>Cosmic body becomes infrastructure with less overt coup/murder.</t>
        </is>
      </c>
      <c r="I6" s="94" t="inlineStr">
        <is>
          <t>Softer body-world form; world-order emerges from prior body.</t>
        </is>
      </c>
      <c r="J6" s="94" t="inlineStr">
        <is>
          <t>Body parts persist as features of world.</t>
        </is>
      </c>
      <c r="K6" s="94" t="inlineStr">
        <is>
          <t>Ymir; Purusha; Tiamat</t>
        </is>
      </c>
      <c r="L6" s="94" t="inlineStr">
        <is>
          <t>Tier 2</t>
        </is>
      </c>
      <c r="M6" s="94" t="inlineStr">
        <is>
          <t>Needs source pass</t>
        </is>
      </c>
      <c r="N6" s="94" t="inlineStr">
        <is>
          <t>Lower violence than Tiamat/Ymir; same architecture, different mood.
[v0.19] Soft body-world comparator: no murder/coup/demonization - do NOT let it carry the capture argument.</t>
        </is>
      </c>
      <c r="O6" s="94" t="inlineStr">
        <is>
          <t>Comparative candidate</t>
        </is>
      </c>
      <c r="P6" s="94" t="inlineStr">
        <is>
          <t>TBD: identify primary text/artifact</t>
        </is>
      </c>
      <c r="Q6" s="94" t="inlineStr">
        <is>
          <t>TBD: exact passage, tablet, chapter, hymn, codex plate, or oral-transcription source</t>
        </is>
      </c>
      <c r="R6" s="94" t="inlineStr">
        <is>
          <t>TBD: one reputable secondary source</t>
        </is>
      </c>
      <c r="S6" s="94" t="inlineStr">
        <is>
          <t>Use MR-01 + MR-03</t>
        </is>
      </c>
      <c r="T6" s="94" t="n"/>
      <c r="U6" s="94" t="inlineStr">
        <is>
          <t>Medium until source pass complete</t>
        </is>
      </c>
      <c r="V6" s="94" t="inlineStr">
        <is>
          <t>Run model review, then source-pass
[v0.19.1] Dropped Supportive -&gt; Source-pass (soft comparator only): Interp Tier 3 cannot be Supportive/Load-bearing; must not carry the capture argument.</t>
        </is>
      </c>
      <c r="W6" s="94" t="n"/>
      <c r="X6" s="94" t="n"/>
      <c r="Y6" s="86" t="inlineStr">
        <is>
          <t>Tier 2</t>
        </is>
      </c>
      <c r="Z6" s="86" t="inlineStr">
        <is>
          <t>Tier 3</t>
        </is>
      </c>
      <c r="AA6" s="107" t="inlineStr">
        <is>
          <t>Source-pass</t>
        </is>
      </c>
      <c r="AB6" s="86" t="inlineStr">
        <is>
          <t>No murder, no adversary, no subordinated remainder, no legitimated ruler. Every element of PB-01's diagnostic except 'body becomes world' is absent.</t>
        </is>
      </c>
      <c r="AC6" s="86" t="inlineStr">
        <is>
          <t>Counterexample</t>
        </is>
      </c>
      <c r="AD6" s="86" t="inlineStr">
        <is>
          <t>The honest reading is that body -&gt; world cosmogony does not require a capture event - which is what this row demonstrates. NOTE: the 'same architecture, different mood' gloss in col N absorbs the mismatch instead of scoring it. Treat that gloss as the frame protecting itself.</t>
        </is>
      </c>
      <c r="AE6" s="105" t="inlineStr">
        <is>
          <t>Legacy — not yet tagged</t>
        </is>
      </c>
      <c r="AF6" s="105" t="n"/>
      <c r="AG6" s="105" t="n"/>
    </row>
    <row r="7" ht="41.25" customHeight="1" s="61">
      <c r="A7" s="94" t="inlineStr">
        <is>
          <t>OO-001</t>
        </is>
      </c>
      <c r="B7" s="94" t="inlineStr">
        <is>
          <t>OO-01</t>
        </is>
      </c>
      <c r="C7" s="94" t="inlineStr">
        <is>
          <t>Ordering Operator / New Boss</t>
        </is>
      </c>
      <c r="D7" s="94" t="n"/>
      <c r="E7" s="94" t="inlineStr">
        <is>
          <t>Babylonian / Mesopotamian</t>
        </is>
      </c>
      <c r="F7" s="94" t="inlineStr">
        <is>
          <t>Marduk</t>
        </is>
      </c>
      <c r="G7" s="94" t="inlineStr">
        <is>
          <t>Defeats Tiamat, organizes cosmos, receives supremacy among gods.</t>
        </is>
      </c>
      <c r="H7" s="94" t="inlineStr">
        <is>
          <t>Young military/executive operator converts crisis into permanent sovereignty.</t>
        </is>
      </c>
      <c r="I7" s="94" t="inlineStr">
        <is>
          <t>Emergency powers become kingly order; state-temple legitimation.</t>
        </is>
      </c>
      <c r="J7" s="94" t="inlineStr">
        <is>
          <t>Defeated older order persists as the world he rules.</t>
        </is>
      </c>
      <c r="K7" s="94" t="inlineStr">
        <is>
          <t>Odin; Indra; Baal; Tezcatlipoca/Quetzalcoatl</t>
        </is>
      </c>
      <c r="L7" s="94" t="inlineStr">
        <is>
          <t>Tier 1-2</t>
        </is>
      </c>
      <c r="M7" s="94" t="inlineStr">
        <is>
          <t>Anchored (v0.20); STRONG - the irrevocability clause is explicit in the text</t>
        </is>
      </c>
      <c r="N7" s="94" t="inlineStr">
        <is>
          <t>Best anchor for narrative heist / hostile takeover reading.
[v0.20 source-pass] FINDING: OO-01's core diagnostic ('crisis converted into permanent sovereignty') is explicit in the primary text, not inferred. Marduk's condition includes a no-revocation clause, and the assembly grants it in advance of the battle. Recommend the motif tier be reviewed upward next pass; NOT changed here, per the discipline that a source pass does not re-tier. Akitu recitation supplies the state-ritual context.</t>
        </is>
      </c>
      <c r="O7" s="94" t="inlineStr">
        <is>
          <t>MFM §7; PF case study 1</t>
        </is>
      </c>
      <c r="P7" s="94" t="inlineStr">
        <is>
          <t>Enuma Elis, Tablet II (Marduk's terms) + Tablet IV 1-34 (the assembly grants them) + Tablet VI-VII (kingship, Babylon, the fifty names).</t>
        </is>
      </c>
      <c r="Q7" s="94" t="inlineStr">
        <is>
          <t>Ee II: Marduk's price - convene the assembly, fix a special fate, 'my own utterance shall fix fate instead of you; whatever I decree of my lips shall never be revoked, never changed' (Dalley pp. 243-244; LINE NUMBERS NOT PINNED). Ee IV 1-34: the assembly agrees before the crisis is resolved - 'your destiny is unequalled, your word has the power of Anu' - and tests his word on a constellation. Ee VI 99: kingship over the gods. Ee VI 55, 72: Babylon and Esagila. Ee VII: the fifty names. Context: the epic was recited at the Akitu New Year festival - annual re-performance of the charter.</t>
        </is>
      </c>
      <c r="R7" s="94" t="inlineStr">
        <is>
          <t>Lambert, W. G., Babylonian Creation Myths (Eisenbrauns, 2013) = standard critical edition. Dalley, S., Myths from Mesopotamia, rev. ed. (OUP, 2000) = working translation. Talon, SAACT 4. eBL (electronic Babylonian Library) for the composite text and line numbering. On the Akitu recitation and the Ashur recension, check a standard reference.</t>
        </is>
      </c>
      <c r="S7" s="94" t="inlineStr">
        <is>
          <t>Use MR-01 + MR-03</t>
        </is>
      </c>
      <c r="T7" s="94" t="n"/>
      <c r="U7" s="94" t="inlineStr">
        <is>
          <t>Medium until source pass complete</t>
        </is>
      </c>
      <c r="V7" s="94" t="inlineStr">
        <is>
          <t>Run model review, then source-pass
[v0.20 source-pass] Pin Ee II line numbers, then propose a tier review for Y (motif).</t>
        </is>
      </c>
      <c r="W7" s="94" t="inlineStr">
        <is>
          <t>Lambert 2013, Babylonian Creation Myths, Eisenbrauns | Dalley 2000, Myths from Mesopotamia, OUP: Tablet I at p. 234, Tablet II at pp. 243-244, Tablet VI at p. 261 (pages verified via secondary quotation, not opened in-edition)</t>
        </is>
      </c>
      <c r="X7" s="94" t="inlineStr">
        <is>
          <t>2026-07-29</t>
        </is>
      </c>
      <c r="Y7" s="86" t="inlineStr">
        <is>
          <t>Tier 1</t>
        </is>
      </c>
      <c r="Z7" s="86" t="inlineStr">
        <is>
          <t>Tier 1</t>
        </is>
      </c>
      <c r="AA7" s="104" t="inlineStr">
        <is>
          <t>Load-bearing</t>
        </is>
      </c>
      <c r="AB7" s="86" t="inlineStr">
        <is>
          <t>None. The irrevocability clause makes 'crisis converted into permanent sovereignty' explicit rather than inferred.</t>
        </is>
      </c>
      <c r="AC7" s="86" t="inlineStr">
        <is>
          <t>Fits</t>
        </is>
      </c>
      <c r="AD7" s="86" t="inlineStr">
        <is>
          <t>The Assur recension substitutes Ashur for Marduk, so the charter is portable. That supports reading the epic as a general kingship ideology rather than the record of one historical usurpation - which weakens any specific political-event reading.</t>
        </is>
      </c>
      <c r="AE7" s="105" t="inlineStr">
        <is>
          <t>Legacy — not yet tagged</t>
        </is>
      </c>
      <c r="AF7" s="105" t="n"/>
      <c r="AG7" s="105" t="n"/>
    </row>
    <row r="8" ht="41.25" customHeight="1" s="61">
      <c r="A8" s="94" t="inlineStr">
        <is>
          <t>OO-002</t>
        </is>
      </c>
      <c r="B8" s="94" t="inlineStr">
        <is>
          <t>OO-01</t>
        </is>
      </c>
      <c r="C8" s="94" t="inlineStr">
        <is>
          <t>Ordering Operator / New Boss</t>
        </is>
      </c>
      <c r="D8" s="94" t="n"/>
      <c r="E8" s="94" t="inlineStr">
        <is>
          <t>Norse</t>
        </is>
      </c>
      <c r="F8" s="94" t="inlineStr">
        <is>
          <t>Odin + brothers</t>
        </is>
      </c>
      <c r="G8" s="94" t="inlineStr">
        <is>
          <t>Kill Ymir and order the world from his body.</t>
        </is>
      </c>
      <c r="H8" s="94" t="inlineStr">
        <is>
          <t>Younger divine faction converts primordial ancestor into structured world.</t>
        </is>
      </c>
      <c r="I8" s="94" t="inlineStr">
        <is>
          <t>New order stabilizes itself through old body's conversion.</t>
        </is>
      </c>
      <c r="J8" s="94" t="inlineStr">
        <is>
          <t>Giant line continues as kin/enemy/remainder.</t>
        </is>
      </c>
      <c r="K8" s="94" t="inlineStr">
        <is>
          <t>Marduk; Tezcatlipoca/Quetzalcoatl; Indra</t>
        </is>
      </c>
      <c r="L8" s="94" t="inlineStr">
        <is>
          <t>Tier 1-2</t>
        </is>
      </c>
      <c r="M8" s="94" t="inlineStr">
        <is>
          <t>Needs source pass</t>
        </is>
      </c>
      <c r="N8" s="94" t="inlineStr">
        <is>
          <t>Odin also carries knowledge, sacrifice, war, death; do not reduce him to Marduk.</t>
        </is>
      </c>
      <c r="O8" s="94" t="inlineStr">
        <is>
          <t>Comparative candidate</t>
        </is>
      </c>
      <c r="P8" s="94" t="inlineStr">
        <is>
          <t>TBD: identify primary text/artifact</t>
        </is>
      </c>
      <c r="Q8" s="94" t="inlineStr">
        <is>
          <t>TBD: exact passage, tablet, chapter, hymn, codex plate, or oral-transcription source</t>
        </is>
      </c>
      <c r="R8" s="94" t="inlineStr">
        <is>
          <t>TBD: one reputable secondary source</t>
        </is>
      </c>
      <c r="S8" s="94" t="inlineStr">
        <is>
          <t>Use MR-01 + MR-03</t>
        </is>
      </c>
      <c r="T8" s="94" t="n"/>
      <c r="U8" s="94" t="inlineStr">
        <is>
          <t>Medium until source pass complete</t>
        </is>
      </c>
      <c r="V8" s="94" t="inlineStr">
        <is>
          <t>Run model review, then source-pass</t>
        </is>
      </c>
      <c r="W8" s="94" t="n"/>
      <c r="X8" s="94" t="n"/>
      <c r="Y8" s="86" t="inlineStr">
        <is>
          <t>Tier 1</t>
        </is>
      </c>
      <c r="Z8" s="86" t="inlineStr">
        <is>
          <t>Tier 2</t>
        </is>
      </c>
      <c r="AA8" s="106" t="inlineStr">
        <is>
          <t>Supportive</t>
        </is>
      </c>
      <c r="AB8" s="86" t="n"/>
      <c r="AC8" s="86" t="inlineStr">
        <is>
          <t>Not yet tested</t>
        </is>
      </c>
      <c r="AD8" s="86" t="n"/>
      <c r="AE8" s="105" t="inlineStr">
        <is>
          <t>Legacy — not yet tagged</t>
        </is>
      </c>
      <c r="AF8" s="105" t="n"/>
      <c r="AG8" s="105" t="n"/>
    </row>
    <row r="9" ht="41.25" customHeight="1" s="61">
      <c r="A9" s="94" t="inlineStr">
        <is>
          <t>OO-003</t>
        </is>
      </c>
      <c r="B9" s="94" t="inlineStr">
        <is>
          <t>OO-01</t>
        </is>
      </c>
      <c r="C9" s="94" t="inlineStr">
        <is>
          <t>Ordering Operator / New Boss</t>
        </is>
      </c>
      <c r="D9" s="94" t="n"/>
      <c r="E9" s="94" t="inlineStr">
        <is>
          <t>Nahua / Mexica</t>
        </is>
      </c>
      <c r="F9" s="94" t="inlineStr">
        <is>
          <t>Tezcatlipoca / Quetzalcoatl</t>
        </is>
      </c>
      <c r="G9" s="94" t="inlineStr">
        <is>
          <t>Rival operators involved in world-formation, earth-body, and cosmic cycles in variants.</t>
        </is>
      </c>
      <c r="H9" s="94" t="inlineStr">
        <is>
          <t>Divine rivals reshape prior earth/monster/body into usable world.</t>
        </is>
      </c>
      <c r="I9" s="94" t="inlineStr">
        <is>
          <t>World-order emerges through conflict and ritual maintenance.</t>
        </is>
      </c>
      <c r="J9" s="94" t="inlineStr">
        <is>
          <t>Earth/body/monster remains as debt-bearing infrastructure.</t>
        </is>
      </c>
      <c r="K9" s="94" t="inlineStr">
        <is>
          <t>Marduk; Odin; Enki/Enlil; Hero Twins</t>
        </is>
      </c>
      <c r="L9" s="94" t="inlineStr">
        <is>
          <t>Tier 2</t>
        </is>
      </c>
      <c r="M9" s="86" t="inlineStr">
        <is>
          <t>Composite; flag for split; secondary owed</t>
        </is>
      </c>
      <c r="N9" s="86" t="inlineStr">
        <is>
          <t>Handle variants carefully; do source pass before locking row.
[v0.19.1 source-pass] Supports solar succession + divine competition, NOT one unified overthrow - composite; flag for split. Secondary still owed. Support: partial. Tier unchanged.</t>
        </is>
      </c>
      <c r="O9" s="94" t="inlineStr">
        <is>
          <t>Comparative candidate</t>
        </is>
      </c>
      <c r="P9" s="86" t="inlineStr">
        <is>
          <t>Historia de los mexicanos por sus pinturas (Tezcatlipoca/Quetzalcoatl orderings; the Suns).</t>
        </is>
      </c>
      <c r="Q9" s="86" t="inlineStr">
        <is>
          <t>Hist. de los mexicanos ch. 2 paras 14-16, 22, 29; ch. 3 para 33; chs. 5-7 (the Suns) - supports solar succession + divine competition, NOT one unified overthrow.</t>
        </is>
      </c>
      <c r="R9" s="86" t="inlineStr">
        <is>
          <t>NOT FOUND - secondary still owed. (Graulich 1983, entered at PB-003, bears on the Suns/creation context.)</t>
        </is>
      </c>
      <c r="S9" s="94" t="inlineStr">
        <is>
          <t>Use MR-01 + MR-03</t>
        </is>
      </c>
      <c r="T9" s="94" t="n"/>
      <c r="U9" s="94" t="inlineStr">
        <is>
          <t>Medium until source pass complete</t>
        </is>
      </c>
      <c r="V9" s="94" t="inlineStr">
        <is>
          <t>Run model review, then source-pass
[v0.19] Source-pass: composite; pin exact version/source before use (Nahua packet).</t>
        </is>
      </c>
      <c r="W9" s="86" t="inlineStr">
        <is>
          <t>Primary to confirm (Hist. de los mexicanos chs. 2-7). Secondary owed.</t>
        </is>
      </c>
      <c r="X9" s="94" t="n"/>
      <c r="Y9" s="86" t="inlineStr">
        <is>
          <t>Tier 3</t>
        </is>
      </c>
      <c r="Z9" s="86" t="inlineStr">
        <is>
          <t>Tier 3</t>
        </is>
      </c>
      <c r="AA9" s="107" t="inlineStr">
        <is>
          <t>Source-pass</t>
        </is>
      </c>
      <c r="AB9" s="86" t="n"/>
      <c r="AC9" s="86" t="inlineStr">
        <is>
          <t>Not yet tested</t>
        </is>
      </c>
      <c r="AD9" s="86" t="n"/>
      <c r="AE9" s="105" t="inlineStr">
        <is>
          <t>Legacy — not yet tagged</t>
        </is>
      </c>
      <c r="AF9" s="105" t="n"/>
      <c r="AG9" s="105" t="n"/>
    </row>
    <row r="10" ht="41.25" customHeight="1" s="61">
      <c r="A10" s="94" t="inlineStr">
        <is>
          <t>OO-004</t>
        </is>
      </c>
      <c r="B10" s="94" t="inlineStr">
        <is>
          <t>OO-01</t>
        </is>
      </c>
      <c r="C10" s="94" t="inlineStr">
        <is>
          <t>Ordering Operator / New Boss</t>
        </is>
      </c>
      <c r="D10" s="94" t="n"/>
      <c r="E10" s="94" t="inlineStr">
        <is>
          <t>Vedic</t>
        </is>
      </c>
      <c r="F10" s="94" t="inlineStr">
        <is>
          <t>Indra</t>
        </is>
      </c>
      <c r="G10" s="94" t="inlineStr">
        <is>
          <t>Defeats Vritra and releases waters.</t>
        </is>
      </c>
      <c r="H10" s="94" t="inlineStr">
        <is>
          <t>Storm/war chief breaks hoarder/serpent control of life-resource.</t>
        </is>
      </c>
      <c r="I10" s="94" t="inlineStr">
        <is>
          <t>Violence legitimates order by freeing controlled resource.</t>
        </is>
      </c>
      <c r="J10" s="94" t="inlineStr">
        <is>
          <t>Serpent/hoarder remains as recurring chaos/resource-control figure.</t>
        </is>
      </c>
      <c r="K10" s="94" t="inlineStr">
        <is>
          <t>Baal/Yam; Yahweh/Leviathan; Marduk/Tiamat</t>
        </is>
      </c>
      <c r="L10" s="94" t="inlineStr">
        <is>
          <t>Tier 1-2</t>
        </is>
      </c>
      <c r="M10" s="94" t="inlineStr">
        <is>
          <t>Needs source pass</t>
        </is>
      </c>
      <c r="N10" s="94" t="inlineStr">
        <is>
          <t>Better as resource-release/chaoskampf than corpse-world.</t>
        </is>
      </c>
      <c r="O10" s="94" t="inlineStr">
        <is>
          <t>MFM monster taxonomy; comparative candidate</t>
        </is>
      </c>
      <c r="P10" s="94" t="inlineStr">
        <is>
          <t>TBD: identify primary text/artifact</t>
        </is>
      </c>
      <c r="Q10" s="94" t="inlineStr">
        <is>
          <t>TBD: exact passage, tablet, chapter, hymn, codex plate, or oral-transcription source</t>
        </is>
      </c>
      <c r="R10" s="94" t="inlineStr">
        <is>
          <t>TBD: one reputable secondary source</t>
        </is>
      </c>
      <c r="S10" s="94" t="inlineStr">
        <is>
          <t>Use MR-01 + MR-03</t>
        </is>
      </c>
      <c r="T10" s="94" t="n"/>
      <c r="U10" s="94" t="inlineStr">
        <is>
          <t>Medium until source pass complete</t>
        </is>
      </c>
      <c r="V10" s="94" t="inlineStr">
        <is>
          <t>Run model review, then source-pass</t>
        </is>
      </c>
      <c r="W10" s="94" t="n"/>
      <c r="X10" s="94" t="n"/>
      <c r="Y10" s="86" t="inlineStr">
        <is>
          <t>Tier 1</t>
        </is>
      </c>
      <c r="Z10" s="86" t="inlineStr">
        <is>
          <t>Tier 2</t>
        </is>
      </c>
      <c r="AA10" s="106" t="inlineStr">
        <is>
          <t>Supportive</t>
        </is>
      </c>
      <c r="AB10" s="86" t="n"/>
      <c r="AC10" s="86" t="inlineStr">
        <is>
          <t>Not yet tested</t>
        </is>
      </c>
      <c r="AD10" s="86" t="n"/>
      <c r="AE10" s="105" t="inlineStr">
        <is>
          <t>Legacy — not yet tagged</t>
        </is>
      </c>
      <c r="AF10" s="105" t="n"/>
      <c r="AG10" s="105" t="n"/>
    </row>
    <row r="11" ht="41.25" customHeight="1" s="61">
      <c r="A11" s="94" t="inlineStr">
        <is>
          <t>OO-005</t>
        </is>
      </c>
      <c r="B11" s="94" t="inlineStr">
        <is>
          <t>OO-01</t>
        </is>
      </c>
      <c r="C11" s="94" t="inlineStr">
        <is>
          <t>Ordering Operator / New Boss</t>
        </is>
      </c>
      <c r="D11" s="94" t="n"/>
      <c r="E11" s="94" t="inlineStr">
        <is>
          <t>Levantine / Biblical poetic</t>
        </is>
      </c>
      <c r="F11" s="94" t="inlineStr">
        <is>
          <t>Baal / Yahweh storm-war motifs</t>
        </is>
      </c>
      <c r="G11" s="94" t="inlineStr">
        <is>
          <t>Storm/king god defeats sea, dragon, Leviathan/Rahab/Yam in poetic or mythic material.</t>
        </is>
      </c>
      <c r="H11" s="94" t="inlineStr">
        <is>
          <t>Rule legitimized by victory over unadministered sea/chaos/resource.</t>
        </is>
      </c>
      <c r="I11" s="94" t="inlineStr">
        <is>
          <t>Chaoskampf becomes sacred kingship/order language.</t>
        </is>
      </c>
      <c r="J11" s="94" t="inlineStr">
        <is>
          <t>Sea/dragon imagery persists as recurring threat.</t>
        </is>
      </c>
      <c r="K11" s="94" t="inlineStr">
        <is>
          <t>Marduk/Tiamat; Indra/Vritra; Zeus/Typhon</t>
        </is>
      </c>
      <c r="L11" s="94" t="inlineStr">
        <is>
          <t>Tier 1-2</t>
        </is>
      </c>
      <c r="M11" s="86" t="inlineStr">
        <is>
          <t>Cut/Merge - inactive; leads only, nothing Sourced</t>
        </is>
      </c>
      <c r="N11" s="86" t="inlineStr">
        <is>
          <t>Avoid flattening distinct traditions; compare motif, not identity.
[v0.19.1 source-pass] Nothing verified to enter. Stays Cut/Merge / INACTIVE until split. GPT's pointers (Baal Cycle KTU/CAT; Ps 74, 89, Isa 27, Job 26) are LEADS for the split, not sources - do not mark Sourced.</t>
        </is>
      </c>
      <c r="O11" s="94" t="inlineStr">
        <is>
          <t>MFM §7 / Chaoskampf</t>
        </is>
      </c>
      <c r="P11" s="86" t="inlineStr">
        <is>
          <t>Leads only (NOT sources): Baal Cycle KTU/CAT 1.1-1.6 (Ugaritic); Ps 74, Ps 89, Isa 27:1, Job 26 (Yahweh storm-war) - for the eventual Baal vs Yahweh split.</t>
        </is>
      </c>
      <c r="Q11" s="86" t="inlineStr">
        <is>
          <t>(n/a - inactive until split)</t>
        </is>
      </c>
      <c r="R11" s="86" t="inlineStr">
        <is>
          <t>Leads only; nothing verified to enter as a secondary.</t>
        </is>
      </c>
      <c r="S11" s="94" t="inlineStr">
        <is>
          <t>Use MR-01 + MR-03</t>
        </is>
      </c>
      <c r="T11" s="94" t="n"/>
      <c r="U11" s="94" t="inlineStr">
        <is>
          <t>Medium until source pass complete</t>
        </is>
      </c>
      <c r="V11" s="94" t="inlineStr">
        <is>
          <t>Run model review, then source-pass
[v0.19] SPLIT: separate into Baal (Ugaritic Baal Cycle) and Yahweh storm-war as parallel rows; do not cite as one figure.
[v0.19.1] INACTIVE - do not cite as a live row until split into Baal and Yahweh storm-war parallels.</t>
        </is>
      </c>
      <c r="W11" s="86" t="inlineStr">
        <is>
          <t>(none - inactive until split)</t>
        </is>
      </c>
      <c r="X11" s="94" t="n"/>
      <c r="Y11" s="86" t="inlineStr">
        <is>
          <t>Tier 2</t>
        </is>
      </c>
      <c r="Z11" s="86" t="inlineStr">
        <is>
          <t>Tier 2</t>
        </is>
      </c>
      <c r="AA11" s="108" t="inlineStr">
        <is>
          <t>Cut/Merge</t>
        </is>
      </c>
      <c r="AB11" s="86" t="n"/>
      <c r="AC11" s="86" t="inlineStr">
        <is>
          <t>Not yet tested</t>
        </is>
      </c>
      <c r="AD11" s="86" t="n"/>
      <c r="AE11" s="105" t="inlineStr">
        <is>
          <t>Legacy — not yet tagged</t>
        </is>
      </c>
      <c r="AF11" s="105" t="n"/>
      <c r="AG11" s="105" t="n"/>
    </row>
    <row r="12" ht="41.25" customHeight="1" s="61">
      <c r="A12" s="94" t="inlineStr">
        <is>
          <t>RF-001</t>
        </is>
      </c>
      <c r="B12" s="94" t="inlineStr">
        <is>
          <t>RF-01</t>
        </is>
      </c>
      <c r="C12" s="94" t="inlineStr">
        <is>
          <t>Rebel Blood / Embedded Remainder</t>
        </is>
      </c>
      <c r="D12" s="94" t="inlineStr">
        <is>
          <t>rebel-blood</t>
        </is>
      </c>
      <c r="E12" s="94" t="inlineStr">
        <is>
          <t>Babylonian / Mesopotamian</t>
        </is>
      </c>
      <c r="F12" s="94" t="inlineStr">
        <is>
          <t>Kingu</t>
        </is>
      </c>
      <c r="G12" s="94" t="inlineStr">
        <is>
          <t>Rebel/consort killed; blood used to create humanity as labor force.</t>
        </is>
      </c>
      <c r="H12" s="94" t="inlineStr">
        <is>
          <t>Defeated refusal becomes material foundation of worker species.</t>
        </is>
      </c>
      <c r="I12" s="94" t="inlineStr">
        <is>
          <t>Embedded remainder: the rebel is killed, then built into the system.</t>
        </is>
      </c>
      <c r="J12" s="94" t="inlineStr">
        <is>
          <t>Humanity carries the blood/material of the refuser while assigned obedience.</t>
        </is>
      </c>
      <c r="K12" s="94" t="inlineStr">
        <is>
          <t>Prometheus; Azazel; sacrificed founding victims</t>
        </is>
      </c>
      <c r="L12" s="94" t="inlineStr">
        <is>
          <t>Tier 1-2</t>
        </is>
      </c>
      <c r="M12" s="94" t="inlineStr">
        <is>
          <t>Anchored (v0.20); Lambert 287 supplies a real counter-detail - see counter-reading</t>
        </is>
      </c>
      <c r="N12" s="94" t="inlineStr">
        <is>
          <t>One of the strongest project nodes.
[v0.20 source-pass] FINDING with teeth: Lambert notes the assembly's charge that Qingu made Tiamat rebel has no antecedent anywhere earlier in the epic. The guilt is retroactive. This is strong support for the embedded-remainder reading AND makes the row structurally a scapegoat case - it belongs to SC-01 as much as RF-01. Consider cross-referencing rather than a single home.</t>
        </is>
      </c>
      <c r="O12" s="94" t="inlineStr">
        <is>
          <t>PF case study 1</t>
        </is>
      </c>
      <c r="P12" s="94" t="inlineStr">
        <is>
          <t>Enuma Elis, Tablet VI 1-46. Compare Atra-hasis I (parallel anthropogeny).</t>
        </is>
      </c>
      <c r="Q12" s="94" t="inlineStr">
        <is>
          <t>Ee VI 1-8: Marduk's plan - 'let me put blood together and make bones too... the work of the gods shall be imposed on him, and so they shall be at leisure' (VI 8 = the labour-imposition line). Ee VI 29-34: the assembly charges Qingu, he is bound, his blood vessels severed, mankind fashioned from his blood; VI 33-34 attested as 'Ea created mankind, on whom he imposed the service of the gods, and set the gods free'. Ee VI 43-46: organisation of the netherworld and stations of the gods.</t>
        </is>
      </c>
      <c r="R12" s="94" t="inlineStr">
        <is>
          <t>Lambert, W. G., Babylonian Creation Myths (Eisenbrauns, 2013) = standard critical edition. Dalley, S., Myths from Mesopotamia, rev. ed. (OUP, 2000) = working translation. Talon, SAACT 4. eBL (electronic Babylonian Library) for the composite text and line numbering. Lambert 2013 pp. 101, 111, 113 on the Qingu passages and p. 287 on the unsupported charge (page refs taken from a secondary index - confirm in-edition). Krebernik on Enlil/Ninurta forerunners.</t>
        </is>
      </c>
      <c r="S12" s="94" t="inlineStr">
        <is>
          <t>Use MR-01 + MR-03</t>
        </is>
      </c>
      <c r="T12" s="94" t="n"/>
      <c r="U12" s="94" t="inlineStr">
        <is>
          <t>Medium until source pass complete</t>
        </is>
      </c>
      <c r="V12" s="94" t="inlineStr">
        <is>
          <t>Run model review, then source-pass
[v0.20 source-pass] Confirm Lambert p. 287 in-edition; propose RF-001 &lt;-&gt; SC-01 cross-reference.</t>
        </is>
      </c>
      <c r="W12" s="94" t="inlineStr">
        <is>
          <t>Lambert 2013, Babylonian Creation Myths, Eisenbrauns | Dalley 2000, Myths from Mesopotamia, OUP: Tablet I at p. 234, Tablet II at pp. 243-244, Tablet VI at p. 261 (pages verified via secondary quotation, not opened in-edition) | Lambert 2013 pp. 101, 111, 113, 287 [page refs via secondary index]</t>
        </is>
      </c>
      <c r="X12" s="94" t="inlineStr">
        <is>
          <t>2026-07-29</t>
        </is>
      </c>
      <c r="Y12" s="86" t="inlineStr">
        <is>
          <t>Tier 1</t>
        </is>
      </c>
      <c r="Z12" s="86" t="inlineStr">
        <is>
          <t>Tier 1</t>
        </is>
      </c>
      <c r="AA12" s="104" t="inlineStr">
        <is>
          <t>Load-bearing</t>
        </is>
      </c>
      <c r="AB12" s="86" t="inlineStr">
        <is>
          <t>None. The remainder is literally the construction material.</t>
        </is>
      </c>
      <c r="AC12" s="86" t="inlineStr">
        <is>
          <t>Fits</t>
        </is>
      </c>
      <c r="AD12" s="86" t="inlineStr">
        <is>
          <t>Lambert notes the charge against Qingu has no antecedent earlier in the epic: the guilt is retroactive. This strengthens the reading but relocates the row - it is structurally a scapegoat case, so SC-01 has as good a claim on it as RF-01.</t>
        </is>
      </c>
      <c r="AE12" s="105" t="inlineStr">
        <is>
          <t>Legacy — not yet tagged</t>
        </is>
      </c>
      <c r="AF12" s="105" t="n"/>
      <c r="AG12" s="105" t="n"/>
    </row>
    <row r="13" ht="41.25" customHeight="1" s="61">
      <c r="A13" s="94" t="inlineStr">
        <is>
          <t>RF-002</t>
        </is>
      </c>
      <c r="B13" s="94" t="inlineStr">
        <is>
          <t>RF-01</t>
        </is>
      </c>
      <c r="C13" s="94" t="inlineStr">
        <is>
          <t>Rebel Blood / Embedded Remainder</t>
        </is>
      </c>
      <c r="D13" s="94" t="inlineStr">
        <is>
          <t>stolen-fire</t>
        </is>
      </c>
      <c r="E13" s="94" t="inlineStr">
        <is>
          <t>Greek</t>
        </is>
      </c>
      <c r="F13" s="94" t="inlineStr">
        <is>
          <t>Prometheus</t>
        </is>
      </c>
      <c r="G13" s="94" t="inlineStr">
        <is>
          <t>Steals/gives fire to humans; punished by Zeus.</t>
        </is>
      </c>
      <c r="H13" s="94" t="inlineStr">
        <is>
          <t>Unauthorized tech transfer breaks elite monopoly.</t>
        </is>
      </c>
      <c r="I13" s="94" t="inlineStr">
        <is>
          <t>State/order punishes independent knowledge worker.</t>
        </is>
      </c>
      <c r="J13" s="94" t="inlineStr">
        <is>
          <t>Fire/culture remains with humans despite punishment.</t>
        </is>
      </c>
      <c r="K13" s="94" t="inlineStr">
        <is>
          <t>Azazel; Watchers; Māui; Raven; Hephaestus/Wayland</t>
        </is>
      </c>
      <c r="L13" s="94" t="inlineStr">
        <is>
          <t>Tier 1-2</t>
        </is>
      </c>
      <c r="M13" s="94" t="inlineStr">
        <is>
          <t>Needs source pass</t>
        </is>
      </c>
      <c r="N13" s="94" t="inlineStr">
        <is>
          <t>Technology taboo + captured craftsman cluster.</t>
        </is>
      </c>
      <c r="O13" s="94" t="inlineStr">
        <is>
          <t>MFM §5A</t>
        </is>
      </c>
      <c r="P13" s="94" t="inlineStr">
        <is>
          <t>TBD: identify primary text/artifact</t>
        </is>
      </c>
      <c r="Q13" s="94" t="inlineStr">
        <is>
          <t>TBD: exact passage, tablet, chapter, hymn, codex plate, or oral-transcription source</t>
        </is>
      </c>
      <c r="R13" s="94" t="inlineStr">
        <is>
          <t>TBD: one reputable secondary source</t>
        </is>
      </c>
      <c r="S13" s="94" t="inlineStr">
        <is>
          <t>Use MR-01 + MR-03</t>
        </is>
      </c>
      <c r="T13" s="94" t="n"/>
      <c r="U13" s="94" t="inlineStr">
        <is>
          <t>Medium until source pass complete</t>
        </is>
      </c>
      <c r="V13" s="94" t="inlineStr">
        <is>
          <t>Run model review, then source-pass</t>
        </is>
      </c>
      <c r="W13" s="94" t="n"/>
      <c r="X13" s="94" t="n"/>
      <c r="Y13" s="86" t="inlineStr">
        <is>
          <t>Tier 1</t>
        </is>
      </c>
      <c r="Z13" s="86" t="inlineStr">
        <is>
          <t>Tier 1-2</t>
        </is>
      </c>
      <c r="AA13" s="106" t="inlineStr">
        <is>
          <t>Supportive</t>
        </is>
      </c>
      <c r="AB13" s="86" t="n"/>
      <c r="AC13" s="86" t="inlineStr">
        <is>
          <t>Not yet tested</t>
        </is>
      </c>
      <c r="AD13" s="86" t="n"/>
      <c r="AE13" s="105" t="inlineStr">
        <is>
          <t>Mixed — separate layers</t>
        </is>
      </c>
      <c r="AF13" s="105" t="inlineStr">
        <is>
          <t>Keep Hesiod and Prometheus Bound separate. The dangerous-marriage secret is tragic-layer evidence; a modern whistleblower trial is invention.</t>
        </is>
      </c>
      <c r="AG13" s="105" t="inlineStr">
        <is>
          <t>VA-01</t>
        </is>
      </c>
    </row>
    <row r="14" ht="41.25" customHeight="1" s="61">
      <c r="A14" s="94" t="inlineStr">
        <is>
          <t>RF-003</t>
        </is>
      </c>
      <c r="B14" s="94" t="inlineStr">
        <is>
          <t>RF-01</t>
        </is>
      </c>
      <c r="C14" s="94" t="inlineStr">
        <is>
          <t>Rebel Blood / Embedded Remainder</t>
        </is>
      </c>
      <c r="D14" s="94" t="inlineStr">
        <is>
          <t>fallen-watchers</t>
        </is>
      </c>
      <c r="E14" s="94" t="inlineStr">
        <is>
          <t>Enochic Jewish</t>
        </is>
      </c>
      <c r="F14" s="94" t="inlineStr">
        <is>
          <t>Azazel / Watchers</t>
        </is>
      </c>
      <c r="G14" s="94" t="inlineStr">
        <is>
          <t>Teach forbidden crafts; descend and produce destabilizing offspring; punished.</t>
        </is>
      </c>
      <c r="H14" s="94" t="inlineStr">
        <is>
          <t>Elite/outsider knowledge and sexual access become demonized.</t>
        </is>
      </c>
      <c r="I14" s="94" t="inlineStr">
        <is>
          <t>Forbidden craft is managed by later moral/theological frame.</t>
        </is>
      </c>
      <c r="J14" s="94" t="inlineStr">
        <is>
          <t>Technical knowledge and hybrid anxiety remain inside human culture.</t>
        </is>
      </c>
      <c r="K14" s="94" t="inlineStr">
        <is>
          <t>Prometheus; Hephaestus; Apkallu; Nephilim</t>
        </is>
      </c>
      <c r="L14" s="94" t="inlineStr">
        <is>
          <t>Tier 1-2</t>
        </is>
      </c>
      <c r="M14" s="94" t="inlineStr">
        <is>
          <t>Needs source pass</t>
        </is>
      </c>
      <c r="N14" s="94" t="inlineStr">
        <is>
          <t>Distinguish textual Enoch from later demonology.</t>
        </is>
      </c>
      <c r="O14" s="94" t="inlineStr">
        <is>
          <t>MFM §5 / §5A</t>
        </is>
      </c>
      <c r="P14" s="94" t="inlineStr">
        <is>
          <t>TBD: identify primary text/artifact</t>
        </is>
      </c>
      <c r="Q14" s="94" t="inlineStr">
        <is>
          <t>TBD: exact passage, tablet, chapter, hymn, codex plate, or oral-transcription source</t>
        </is>
      </c>
      <c r="R14" s="94" t="inlineStr">
        <is>
          <t>TBD: one reputable secondary source</t>
        </is>
      </c>
      <c r="S14" s="94" t="inlineStr">
        <is>
          <t>Use MR-01 + MR-03</t>
        </is>
      </c>
      <c r="T14" s="94" t="n"/>
      <c r="U14" s="94" t="inlineStr">
        <is>
          <t>Medium until source pass complete</t>
        </is>
      </c>
      <c r="V14" s="94" t="inlineStr">
        <is>
          <t>Run model review, then source-pass</t>
        </is>
      </c>
      <c r="W14" s="94" t="n"/>
      <c r="X14" s="94" t="n"/>
      <c r="Y14" s="86" t="inlineStr">
        <is>
          <t>Tier 1</t>
        </is>
      </c>
      <c r="Z14" s="86" t="inlineStr">
        <is>
          <t>Tier 2</t>
        </is>
      </c>
      <c r="AA14" s="106" t="inlineStr">
        <is>
          <t>Supportive</t>
        </is>
      </c>
      <c r="AB14" s="86" t="n"/>
      <c r="AC14" s="86" t="inlineStr">
        <is>
          <t>Not yet tested</t>
        </is>
      </c>
      <c r="AD14" s="86" t="n"/>
      <c r="AE14" s="105" t="inlineStr">
        <is>
          <t>Legacy — not yet tagged</t>
        </is>
      </c>
      <c r="AF14" s="105" t="n"/>
      <c r="AG14" s="105" t="n"/>
    </row>
    <row r="15" ht="41.25" customHeight="1" s="61">
      <c r="A15" s="94" t="inlineStr">
        <is>
          <t>RF-004</t>
        </is>
      </c>
      <c r="B15" s="94" t="inlineStr">
        <is>
          <t>RF-01</t>
        </is>
      </c>
      <c r="C15" s="94" t="inlineStr">
        <is>
          <t>Rebel Blood / Embedded Remainder</t>
        </is>
      </c>
      <c r="D15" s="94" t="inlineStr">
        <is>
          <t>culture-hero</t>
        </is>
      </c>
      <c r="E15" s="94" t="inlineStr">
        <is>
          <t>Polynesian</t>
        </is>
      </c>
      <c r="F15" s="94" t="inlineStr">
        <is>
          <t>Māui</t>
        </is>
      </c>
      <c r="G15" s="94" t="inlineStr">
        <is>
          <t>Trickster/culture hero obtains fire, slows sun, fishes land, or alters cosmic conditions.</t>
        </is>
      </c>
      <c r="H15" s="94" t="inlineStr">
        <is>
          <t>Unauthorized intelligence modifies world-order for human use.</t>
        </is>
      </c>
      <c r="I15" s="94" t="inlineStr">
        <is>
          <t>System cannot stop useful theft/innovation from becoming culture.</t>
        </is>
      </c>
      <c r="J15" s="94" t="inlineStr">
        <is>
          <t>Human world carries trickster alterations.</t>
        </is>
      </c>
      <c r="K15" s="94" t="inlineStr">
        <is>
          <t>Prometheus; Raven; Coyote; Quetzalcoatl</t>
        </is>
      </c>
      <c r="L15" s="94" t="inlineStr">
        <is>
          <t>Tier 2</t>
        </is>
      </c>
      <c r="M15" s="94" t="inlineStr">
        <is>
          <t>Needs source pass</t>
        </is>
      </c>
      <c r="N15" s="94" t="inlineStr">
        <is>
          <t>Variant-heavy; source specific islands/traditions.</t>
        </is>
      </c>
      <c r="O15" s="94" t="inlineStr">
        <is>
          <t>Comparative candidate</t>
        </is>
      </c>
      <c r="P15" s="94" t="inlineStr">
        <is>
          <t>TBD: identify primary text/artifact</t>
        </is>
      </c>
      <c r="Q15" s="94" t="inlineStr">
        <is>
          <t>TBD: exact passage, tablet, chapter, hymn, codex plate, or oral-transcription source</t>
        </is>
      </c>
      <c r="R15" s="94" t="inlineStr">
        <is>
          <t>TBD: one reputable secondary source</t>
        </is>
      </c>
      <c r="S15" s="94" t="inlineStr">
        <is>
          <t>Use MR-01 + MR-03</t>
        </is>
      </c>
      <c r="T15" s="94" t="n"/>
      <c r="U15" s="94" t="inlineStr">
        <is>
          <t>Medium until source pass complete</t>
        </is>
      </c>
      <c r="V15" s="94" t="inlineStr">
        <is>
          <t>Run model review, then source-pass
[v0.19] Source-pass: needs named iwi/tradition + collector; no pan-Polynesian flattening.</t>
        </is>
      </c>
      <c r="W15" s="94" t="n"/>
      <c r="X15" s="94" t="n"/>
      <c r="Y15" s="86" t="inlineStr">
        <is>
          <t>Tier 2</t>
        </is>
      </c>
      <c r="Z15" s="86" t="inlineStr">
        <is>
          <t>Tier 2</t>
        </is>
      </c>
      <c r="AA15" s="107" t="inlineStr">
        <is>
          <t>Source-pass</t>
        </is>
      </c>
      <c r="AB15" s="86" t="n"/>
      <c r="AC15" s="86" t="inlineStr">
        <is>
          <t>Not yet tested</t>
        </is>
      </c>
      <c r="AD15" s="86" t="n"/>
      <c r="AE15" s="105" t="inlineStr">
        <is>
          <t>Legacy — not yet tagged</t>
        </is>
      </c>
      <c r="AF15" s="105" t="n"/>
      <c r="AG15" s="105" t="n"/>
    </row>
    <row r="16" ht="41.25" customHeight="1" s="61">
      <c r="A16" s="94" t="inlineStr">
        <is>
          <t>RF-005</t>
        </is>
      </c>
      <c r="B16" s="94" t="inlineStr">
        <is>
          <t>RF-01</t>
        </is>
      </c>
      <c r="C16" s="94" t="inlineStr">
        <is>
          <t>Rebel Blood / Embedded Remainder</t>
        </is>
      </c>
      <c r="D16" s="94" t="inlineStr">
        <is>
          <t>culture-hero</t>
        </is>
      </c>
      <c r="E16" s="94" t="inlineStr">
        <is>
          <t>Pacific Northwest / Indigenous North American</t>
        </is>
      </c>
      <c r="F16" s="94" t="inlineStr">
        <is>
          <t>Raven</t>
        </is>
      </c>
      <c r="G16" s="94" t="inlineStr">
        <is>
          <t>Steals or releases light/fire; transforms world through cunning.</t>
        </is>
      </c>
      <c r="H16" s="94" t="inlineStr">
        <is>
          <t>Low-status or liminal intelligence brings culture by theft.</t>
        </is>
      </c>
      <c r="I16" s="94" t="inlineStr">
        <is>
          <t>Unauthorized acquisition becomes origin of human possibility.</t>
        </is>
      </c>
      <c r="J16" s="94" t="inlineStr">
        <is>
          <t>Light/fire/world-order remains despite trickster mess.</t>
        </is>
      </c>
      <c r="K16" s="94" t="inlineStr">
        <is>
          <t>Prometheus; Māui; Coyote; Anansi</t>
        </is>
      </c>
      <c r="L16" s="94" t="inlineStr">
        <is>
          <t>Tier 2</t>
        </is>
      </c>
      <c r="M16" s="86" t="inlineStr">
        <is>
          <t>Secondary verified; stays Quarantine</t>
        </is>
      </c>
      <c r="N16" s="86" t="inlineStr">
        <is>
          <t>Must name specific tribal/version sources later.
[v0.19.1 source-pass] Tie to Tlingit/Wrangell specifically; do NOT generalize as 'the Raven myth.' Thornton &amp; Thornton 2015 verified (use FULL title; GPT gave only the subtitle). Stays Quarantine (handling discipline, K10). Motif Tier 3 = row-format/source-flattening, not denial of the motif in Tlingit sources. Support: partial (strong for this version). Tier unchanged.</t>
        </is>
      </c>
      <c r="O16" s="94" t="inlineStr">
        <is>
          <t>Comparative candidate</t>
        </is>
      </c>
      <c r="P16" s="86" t="inlineStr">
        <is>
          <t>Swanton, Tlingit Myths and Texts (BAE Bulletin 39, 1909) - Wrangell Raven (daylight-box release; distribution of water).</t>
        </is>
      </c>
      <c r="Q16" s="86" t="inlineStr">
        <is>
          <t>Wrangell Raven cycle - confirm exact myth number in Swanton 1909.</t>
        </is>
      </c>
      <c r="R16" s="86" t="inlineStr">
        <is>
          <t>Thornton &amp; Thornton, 'The Mutable, the Mythical, and the Managerial: Raven Narratives and the Anthropocene,' Environment and Society 6:1 (2015): 66-86. [VERIFIED - full title]</t>
        </is>
      </c>
      <c r="S16" s="94" t="inlineStr">
        <is>
          <t>Use MR-01 + MR-03</t>
        </is>
      </c>
      <c r="T16" s="94" t="n"/>
      <c r="U16" s="94" t="inlineStr">
        <is>
          <t>Medium until source pass complete</t>
        </is>
      </c>
      <c r="V16" s="94" t="inlineStr">
        <is>
          <t>Run model review, then source-pass
[v0.19] QUARANTINE: do not use until tied to a named nation/version/collector.
[v0.19.1] Motif Tier 3 reflects row-format/source-flattening, not denial of the motif in specific nations.</t>
        </is>
      </c>
      <c r="W16" s="86" t="inlineStr">
        <is>
          <t>Thornton &amp; Thornton 2015, Environment and Society 6(1):66-86. doi.org/10.3167/ares.2015.060105</t>
        </is>
      </c>
      <c r="X16" s="94" t="n"/>
      <c r="Y16" s="86" t="inlineStr">
        <is>
          <t>Tier 3</t>
        </is>
      </c>
      <c r="Z16" s="86" t="inlineStr">
        <is>
          <t>Tier 3</t>
        </is>
      </c>
      <c r="AA16" s="109" t="inlineStr">
        <is>
          <t>Quarantine</t>
        </is>
      </c>
      <c r="AB16" s="86" t="n"/>
      <c r="AC16" s="86" t="inlineStr">
        <is>
          <t>Not yet tested</t>
        </is>
      </c>
      <c r="AD16" s="86" t="n"/>
      <c r="AE16" s="105" t="inlineStr">
        <is>
          <t>Legacy — not yet tagged</t>
        </is>
      </c>
      <c r="AF16" s="105" t="n"/>
      <c r="AG16" s="105" t="n"/>
    </row>
    <row r="17" ht="283.5" customHeight="1" s="61">
      <c r="A17" s="94" t="inlineStr">
        <is>
          <t>RF-006</t>
        </is>
      </c>
      <c r="B17" s="94" t="inlineStr">
        <is>
          <t>RF-01</t>
        </is>
      </c>
      <c r="C17" s="94" t="inlineStr">
        <is>
          <t>Rebel Blood / Embedded Remainder</t>
        </is>
      </c>
      <c r="D17" s="94" t="inlineStr">
        <is>
          <t>crippled-maker</t>
        </is>
      </c>
      <c r="E17" s="94" t="inlineStr">
        <is>
          <t>Greek (Hephaestus) / cf. Roman Vulcan</t>
        </is>
      </c>
      <c r="F17" s="94" t="inlineStr">
        <is>
          <t>Hephaestus — lame smith of Olympus, cast from heaven, mocked and cuckolded by the gods, yet sole maker of all their arms, palaces, and wonders.</t>
        </is>
      </c>
      <c r="G17" s="94" t="inlineStr">
        <is>
          <t>Born lame (Homer) — or crippled by the fall when Zeus seizes his leg and hurls him from Olympus for siding with Hera. He lands on Lemnos, returns, and becomes the indispensable artificer: Achilles' armour, Hermes' winged gear, Zeus's aegis, self-moving automatons, the gods' very halls. Forced to wed Aphrodite (to head off a war over her), he is cuckolded by Ares; when he nets the lovers, the gods laugh — at him.</t>
        </is>
      </c>
      <c r="H17" s="94" t="inlineStr">
        <is>
          <t>The one who actually MAKES the tools of power is kept structurally low — marked as defective, mocked, denied the status his output earns. The coalition extracts the maker's product while withholding rank; his deformity is the badge that licenses the extraction. But the maker holds quiet leverage no one else has: he makes the chair Hera can't rise from and the net Ares can't break — the one who forges the bindings can bind the bosses.</t>
        </is>
      </c>
      <c r="I17" s="94" t="inlineStr">
        <is>
          <t>His craft is absorbed into the order as ITS glory (the gods' arsenal is 'theirs') while he is framed as the comic, ugly, subordinate exception — the value canonized upward, the maker written down. The forced marriage and the laughter are the social machinery that keeps the indispensable producer in his place.</t>
        </is>
      </c>
      <c r="J17" s="94" t="inlineStr">
        <is>
          <t>The whole material order of Olympus is HIS work — the remainder is everywhere, embedded in every divine object. And the leverage keeps leaking: the trap-chair extracts a concession from Hera, the net publicly shames the war-god, and he is one of the few exiles who returns. The maker can't be fully written down because the order literally runs on what he alone can make.</t>
        </is>
      </c>
      <c r="K17" s="94" t="inlineStr">
        <is>
          <t>Wayland (RF-007, the lamed maker captured by a king); Tubal-Cain (RF-008); Prometheus (RF-002, fire/craft punished); Athena (UF-003 — Zeus's perfect head-born daughter vs Hera's crippled solo son)</t>
        </is>
      </c>
      <c r="L17" s="94" t="inlineStr">
        <is>
          <t>Tier 1-2</t>
        </is>
      </c>
      <c r="M17" s="94" t="inlineStr">
        <is>
          <t>Sourced (this pass)</t>
        </is>
      </c>
      <c r="N17" s="94" t="inlineStr">
        <is>
          <t>Two origin-versions of the lameness (congenital vs caused-by-fall) — don't collapse them; Homer uses both inconsistently. The 'maker's leverage' reading is Tier 2 but rests on textual episodes (the chair, the net). The Athena cross-link via Hurwit's patriarchal-asymmetry point is itself a scholarly reading; cite it as such.</t>
        </is>
      </c>
      <c r="O17" s="94" t="inlineStr">
        <is>
          <t>MFM §5A (smith &amp; technology taboo) — captured-maker pole. PF §1, §3 (capture, embedded remainder). Sub-cluster with Wayland.</t>
        </is>
      </c>
      <c r="P17" s="94" t="inlineStr">
        <is>
          <t>Homer, Iliad I.586-594 (Zeus hurls him; lands on Lemnos) and XVIII.368-617 (forging Achilles' armour; he recalls Hera casting him out 'shamed by my lameness'); Odyssey 8.266-366 (Ares/Aphrodite net).</t>
        </is>
      </c>
      <c r="Q17" s="94" t="inlineStr">
        <is>
          <t>Iliad I.590-600 (the fall + the gods' laughter as he serves nectar); Iliad XVIII.394-409 (Hera's rejection); Od. 8.266-366 (the net).</t>
        </is>
      </c>
      <c r="R17" s="94" t="inlineStr">
        <is>
          <t>J.M. Hurwit on the Hera/Zeus birth-asymmetry (perfect Athena vs crippled Hephaestus); Marie Delcourt, 'Hephaistos ou la legende du magicien' (1957); theoi.com compendium s.v. Hephaistos.</t>
        </is>
      </c>
      <c r="S17" s="94" t="inlineStr">
        <is>
          <t>Is 'maker's leverage' textual or romanticized? Verify the chair and net episodes; confirm the indispensability claim (range of objects he makes); keep the two lameness-versions distinct.</t>
        </is>
      </c>
      <c r="T17" s="94" t="n"/>
      <c r="U17" s="94" t="inlineStr">
        <is>
          <t>MODERATE — the subordination-of-the-maker reading is well-grounded, but don't over-read the 'rebellion' (his leverage is real yet limited; he largely stays inside the order, unlike Wayland). Avoid treating Vulcan=Hephaestus syncretism as identity.</t>
        </is>
      </c>
      <c r="V17" s="94" t="inlineStr">
        <is>
          <t>Pull Iliad I + XVIII and Od. 8 line refs (Lattimore/Fagles); confirm Hurwit citation; mark the Athena cross-link as a scholarly reading.</t>
        </is>
      </c>
      <c r="W17" s="94" t="inlineStr">
        <is>
          <t>poetryintranslation.com Iliad XVIII; theoi.com/Olympios/Hephaistos; en.wikipedia.org/wiki/Hephaestus (Homer Il. I.586ff, XVIII; Od. 8)</t>
        </is>
      </c>
      <c r="X17" s="94" t="inlineStr">
        <is>
          <t>2026-06-14</t>
        </is>
      </c>
      <c r="Y17" s="86" t="inlineStr">
        <is>
          <t>Tier 1</t>
        </is>
      </c>
      <c r="Z17" s="86" t="inlineStr">
        <is>
          <t>Tier 2</t>
        </is>
      </c>
      <c r="AA17" s="106" t="inlineStr">
        <is>
          <t>Supportive</t>
        </is>
      </c>
      <c r="AB17" s="86" t="n"/>
      <c r="AC17" s="86" t="inlineStr">
        <is>
          <t>Not yet tested</t>
        </is>
      </c>
      <c r="AD17" s="86" t="n"/>
      <c r="AE17" s="105" t="inlineStr">
        <is>
          <t>Mixed — separate layers</t>
        </is>
      </c>
      <c r="AF17" s="105" t="inlineStr">
        <is>
          <t>Hephaestus's reluctant enforcement labor, divine status, workshop autonomy, and variant ejection stories must not be harmonized.</t>
        </is>
      </c>
      <c r="AG17" s="105" t="inlineStr"/>
    </row>
    <row r="18" ht="283.5" customHeight="1" s="61">
      <c r="A18" s="94" t="inlineStr">
        <is>
          <t>RF-007</t>
        </is>
      </c>
      <c r="B18" s="94" t="inlineStr">
        <is>
          <t>RF-01</t>
        </is>
      </c>
      <c r="C18" s="94" t="inlineStr">
        <is>
          <t>Rebel Blood / Embedded Remainder</t>
        </is>
      </c>
      <c r="D18" s="94" t="inlineStr">
        <is>
          <t>enslaved-maker</t>
        </is>
      </c>
      <c r="E18" s="94" t="inlineStr">
        <is>
          <t>Norse / Germanic / Anglo-Saxon; Völundarkviða (Poetic Edda)</t>
        </is>
      </c>
      <c r="F18" s="94" t="inlineStr">
        <is>
          <t>Wayland / Völundr — master smith captured by a king, deliberately hamstrung to keep him producing, who works his revenge entirely through his craft and escapes on self-forged wings.</t>
        </is>
      </c>
      <c r="G18" s="94" t="inlineStr">
        <is>
          <t>King Niðhad, envious of Völundr's skill and treasures, seizes him in his sleep, has his hamstrings cut so he cannot flee, and imprisons him on an island to forge for the crown. The king wears Völundr's stolen sword; the princess wears his stolen ring. Völundr lures the king's two sons to the smithy, kills them, and reforges their skulls into goblets, eyes into jewels, teeth into a brooch — gifts sent unwitting to the royal family. He rapes and impregnates the princess, then flies away on wings he has made, taunting the king from the air.</t>
        </is>
      </c>
      <c r="H18" s="94" t="inlineStr">
        <is>
          <t>Power that cannot generate the craft itself seizes the body that can and MAIMS it precisely to bind it to production — the crippling is the control mechanism, not an accident. The king appropriates the maker's output (sword, ring) as his own household's adornment. But a bound maker is the most dangerous thing in the workshop: the only hands that can make the king's treasures can also make his catastrophe.</t>
        </is>
      </c>
      <c r="I18" s="94" t="inlineStr">
        <is>
          <t>Capture-and-extract in its rawest form — no canonizing theology, just force: enslave the producer, take the product, display it as the crown's. The 'gifts' the maker sends back are the move turned inside out — the order consumes and wears the maker's craft without knowing what it now contains.</t>
        </is>
      </c>
      <c r="J18" s="94" t="inlineStr">
        <is>
          <t>The remainder is monstrous and literal — the king eats from goblets made of his own sons, the queen wears their eyes, the princess a brooch of their teeth: the maker's embedded product is the captor's own undoing, hidden in plain sight. And the maker escapes intact via a made object (the wings); the craft meant to bind him is exactly what frees him. In Deor he is remembered as suffering endured and overcome.</t>
        </is>
      </c>
      <c r="K18" s="94" t="inlineStr">
        <is>
          <t>Hephaestus (RF-006, the other lamed captured maker — but Hephaestus stays inside the order; Wayland razes it); Tubal-Cain (RF-008); Prometheus (RF-002)</t>
        </is>
      </c>
      <c r="L18" s="94" t="inlineStr">
        <is>
          <t>Tier 1-2</t>
        </is>
      </c>
      <c r="M18" s="94" t="inlineStr">
        <is>
          <t>Sourced (this pass)</t>
        </is>
      </c>
      <c r="N18" s="94" t="inlineStr">
        <is>
          <t>Brutal content (filicide, rape) — represent plainly, don't aestheticize. Source versions differ (Völundarkviða vs Þiðrekssaga's Velent), but the hamstringing-to-enslave core is constant. The 'crippling AS control' reading is strongly textual here (unlike Hephaestus, where lameness is congenital/accidental).</t>
        </is>
      </c>
      <c r="O18" s="94" t="inlineStr">
        <is>
          <t>MFM §5A (smith &amp; technology taboo) — captured-maker pole, violent variant. PF §1 (capture), §3 (embedded remainder). Sub-cluster with Hephaestus.</t>
        </is>
      </c>
      <c r="P18" s="94" t="inlineStr">
        <is>
          <t>Völundarkviða (Poetic Edda) — full lay; Þiðrekssaga (Velent episode); Old English Deor (Welund stanza); depicted on the Franks Casket and Ardre stone VIII.</t>
        </is>
      </c>
      <c r="Q18" s="94" t="inlineStr">
        <is>
          <t>Völundarkviða strophes on the capture + hamstringing (Niðhad seizes him, cuts the sinews, sets him to the forge) through the revenge and winged escape; Deor ll. 1-13 (Welund's torment).</t>
        </is>
      </c>
      <c r="R18" s="94" t="inlineStr">
        <is>
          <t>Ursula Dronke (ed.), 'The Poetic Edda' Vol. II (Mythological Poems), edition + commentary on Völundarkviða; John McKinnell on the smith-legend; Leslie Webster on the Franks Casket.</t>
        </is>
      </c>
      <c r="S18" s="94" t="inlineStr">
        <is>
          <t>Confirm the hamstringing-to-prevent-escape and forced-labour framing are explicit in Völundarkviða (Dronke). Distinguish Eddic vs Þiðrekssaga versions. Keep the violence factual, not lurid.</t>
        </is>
      </c>
      <c r="T18" s="94" t="n"/>
      <c r="U18" s="94" t="inlineStr">
        <is>
          <t>LOW-MODERATE — the captured-and-crippled-maker reading is about as directly textual as the cluster gets; main risk is importing a tidy 'craft-as-liberation' moral the bleak poem doesn't endorse (the escape leaves devastation, not justice).</t>
        </is>
      </c>
      <c r="V18" s="94" t="inlineStr">
        <is>
          <t>Pull Dronke's Völundarkviða strophe numbers; cite the Deor stanza; note the Franks Casket panel as material attestation.</t>
        </is>
      </c>
      <c r="W18" s="94" t="inlineStr">
        <is>
          <t>en.wikipedia.org/wiki/Wayland_the_Smith; vikingtimes.co.uk Völundarkviða (Poetic Edda; Deor; Þiðrekssaga)</t>
        </is>
      </c>
      <c r="X18" s="94" t="inlineStr">
        <is>
          <t>2026-06-14</t>
        </is>
      </c>
      <c r="Y18" s="86" t="inlineStr">
        <is>
          <t>Tier 1</t>
        </is>
      </c>
      <c r="Z18" s="86" t="inlineStr">
        <is>
          <t>Tier 1</t>
        </is>
      </c>
      <c r="AA18" s="104" t="inlineStr">
        <is>
          <t>Load-bearing</t>
        </is>
      </c>
      <c r="AB18" s="86" t="n"/>
      <c r="AC18" s="86" t="inlineStr">
        <is>
          <t>Not yet tested</t>
        </is>
      </c>
      <c r="AD18" s="86" t="n"/>
      <c r="AE18" s="105" t="inlineStr">
        <is>
          <t>Legacy — not yet tagged</t>
        </is>
      </c>
      <c r="AF18" s="105" t="n"/>
      <c r="AG18" s="105" t="n"/>
    </row>
    <row r="19" ht="283.5" customHeight="1" s="61">
      <c r="A19" s="94" t="inlineStr">
        <is>
          <t>RF-008</t>
        </is>
      </c>
      <c r="B19" s="94" t="inlineStr">
        <is>
          <t>RF-01</t>
        </is>
      </c>
      <c r="C19" s="94" t="inlineStr">
        <is>
          <t>Rebel Blood / Embedded Remainder</t>
        </is>
      </c>
      <c r="D19" s="94" t="inlineStr">
        <is>
          <t>marked-lineage</t>
        </is>
      </c>
      <c r="E19" s="94" t="inlineStr">
        <is>
          <t>Hebrew Bible (Genesis); later Jewish/Christian interpretation</t>
        </is>
      </c>
      <c r="F19" s="94" t="inlineStr">
        <is>
          <t>Tubal-Cain — the Bible's first smith, 'forger of all instruments of bronze and iron,' whose craft is located in the cursed line of Cain rather than the godly line of Seth.</t>
        </is>
      </c>
      <c r="G19" s="94" t="inlineStr">
        <is>
          <t>Genesis 4:22 names Tubal-Cain, son of Lamech and Zillah, seventh from Cain, as the originator of metalworking — 'the forger of all instruments of bronze and iron.' His half-siblings are eponyms of the other arts: Jabal (herding/tents), Jubal (the lyre and pipe), with Naamah (weaving, in tradition). The whole technical-cultural toolkit is credited to the Cainite branch, immediately before Lamech's boast of killing and the Flood that wipes the line.</t>
        </is>
      </c>
      <c r="H19" s="94" t="inlineStr">
        <is>
          <t>Here the capture is GENEALOGICAL, not physical — no maker is bound, but the craft itself is assigned a bloodline. The dangerous, powerful knowledge (metal = tools AND weapons) is filed under the marked, violent lineage, quarantining the technology by tainting its source. Civilization's indispensable arts are acknowledged and simultaneously fenced off as belonging to the wrong, cursed branch of humanity.</t>
        </is>
      </c>
      <c r="I19" s="94" t="inlineStr">
        <is>
          <t>The taboo move: credit the craft, mark the craftsman's line. Later interpretation makes it explicit — Philo reads the metalwork as the 'iron passions' culminating Cain's violence; the placement next to Lamech's blood-boast and before the Flood frames metallurgy as belonging to the doomed, not the saved. The remainder (everyone keeps using metal) is licensed only after the source is morally cordoned.</t>
        </is>
      </c>
      <c r="J19" s="94" t="inlineStr">
        <is>
          <t>The craft outlives its quarantine completely — post-Flood humanity still forges, so the knowledge is plainly indispensable and embedded in all later culture; what the narrative retains is only the STAIN on its origin. The smith stays ambivalent ever after: Eliade reads the furnace as sacred rebirth (ore-&gt;refined), the same craft both holy and cursed.</t>
        </is>
      </c>
      <c r="K19" s="94" t="inlineStr">
        <is>
          <t>Hephaestus (RF-006 — later writers literally identify Tubal-Cain with Vulcan; sister Naamah ~ Venus); Wayland (RF-007); Prometheus (RF-002, gift that is also transgression); Azazel/Watchers (RF-003, forbidden metallurgy/weapon knowledge)</t>
        </is>
      </c>
      <c r="L19" s="94" t="inlineStr">
        <is>
          <t>Tier 1-2</t>
        </is>
      </c>
      <c r="M19" s="94" t="inlineStr">
        <is>
          <t>Sourced (this pass)</t>
        </is>
      </c>
      <c r="N19" s="94" t="inlineStr">
        <is>
          <t>The 'technology taboo' valence is INTERPRETIVE (Philo onward), NOT stated in the verse — Gen 4:22 itself is fairly neutral, even read positively by some as human skill 'from day one.' Flag the competing reading. This is the §5A taboo POLE, distinct from the captured-maker pole (Tubal-Cain is neither bound nor crippled). Don't confuse with Tubal son of Japheth (Gen 10:2).</t>
        </is>
      </c>
      <c r="O19" s="94" t="inlineStr">
        <is>
          <t>MFM §5A (smith &amp; technology taboo) — technology-taboo pole. PF §1, §2 (capture, canonize via genealogy). Sub-type distinct from the captured-maker pair.</t>
        </is>
      </c>
      <c r="P19" s="94" t="inlineStr">
        <is>
          <t>Genesis 4:17-24 (the Cainite genealogy; 4:22 Tubal-Cain; 4:23-24 Lamech's boast). Hebrew: loTesh kol-choresh nechosheth u-bharzel.</t>
        </is>
      </c>
      <c r="Q19" s="94" t="inlineStr">
        <is>
          <t>Gen 4:22 (the smith) read against 4:23-24 (Lamech's violence) and 4:25-26 (the Sethite alternative); cf. 1 Enoch 8 (Watchers' taught metallurgy).</t>
        </is>
      </c>
      <c r="R19" s="94" t="inlineStr">
        <is>
          <t>Philo, 'On the Posterity of Cain'; Mircea Eliade, 'The Forge and the Crucible' (smith ambivalence); Westermann, 'Genesis 1-11'; Gunkel, 'Genesis' (Cainite-vs-Sethite arts).</t>
        </is>
      </c>
      <c r="S19" s="94" t="inlineStr">
        <is>
          <t>Separate Tier 1 (verse credits Tubal-Cain with metallurgy) from Tier 2 (the cursed/taboo valence is interpretive). Surface the competing 'neutral/positive' reading. Confirm the seventh-generation and Lamech-boast adjacency.</t>
        </is>
      </c>
      <c r="T19" s="94" t="n"/>
      <c r="U19" s="94" t="inlineStr">
        <is>
          <t>HIGH if the verse is read as a flat 'metallurgy is cursed' statement — that's a later interpretive layer, and a real counter-tradition reads the Cainite arts as neutral human achievement. The taboo is in the genealogy + reception, not the words.</t>
        </is>
      </c>
      <c r="V19" s="94" t="inlineStr">
        <is>
          <t>Confirm Westermann/Gunkel on the Cainite-arts structure; pull the Philo citation; mark the Watchers (1 Enoch 8) cross-link to RF-003.
[v0.19.1] Dropped Supportive -&gt; Source-pass: Interp Tier 3 cannot be Supportive/Load-bearing; metallurgy-curse reading needs secondary hardening.</t>
        </is>
      </c>
      <c r="W19" s="94" t="inlineStr">
        <is>
          <t>en.wikipedia.org/wiki/Tubal-cain; biblehub.com/genesis/4-22; alc.net.au biblical-forge-of-tubal-cain (Genesis 4:22; Philo; Eliade)</t>
        </is>
      </c>
      <c r="X19" s="94" t="inlineStr">
        <is>
          <t>2026-06-14</t>
        </is>
      </c>
      <c r="Y19" s="86" t="inlineStr">
        <is>
          <t>Tier 1</t>
        </is>
      </c>
      <c r="Z19" s="86" t="inlineStr">
        <is>
          <t>Tier 3</t>
        </is>
      </c>
      <c r="AA19" s="107" t="inlineStr">
        <is>
          <t>Source-pass</t>
        </is>
      </c>
      <c r="AB19" s="86" t="n"/>
      <c r="AC19" s="86" t="inlineStr">
        <is>
          <t>Not yet tested</t>
        </is>
      </c>
      <c r="AD19" s="86" t="n"/>
      <c r="AE19" s="105" t="inlineStr">
        <is>
          <t>Legacy — not yet tagged</t>
        </is>
      </c>
      <c r="AF19" s="105" t="n"/>
      <c r="AG19" s="105" t="n"/>
    </row>
    <row r="20" ht="41.25" customHeight="1" s="61">
      <c r="A20" s="94" t="inlineStr">
        <is>
          <t>DF-001</t>
        </is>
      </c>
      <c r="B20" s="94" t="inlineStr">
        <is>
          <t>DF-01</t>
        </is>
      </c>
      <c r="C20" s="94" t="inlineStr">
        <is>
          <t>Demonized Feminine / Unadministrable Woman</t>
        </is>
      </c>
      <c r="D20" s="94" t="n"/>
      <c r="E20" s="94" t="inlineStr">
        <is>
          <t>Babylonian / Mesopotamian</t>
        </is>
      </c>
      <c r="F20" s="94" t="inlineStr">
        <is>
          <t>Tiamat</t>
        </is>
      </c>
      <c r="G20" s="94" t="inlineStr">
        <is>
          <t>Presented as chaos dragon/mother defeated by Marduk.</t>
        </is>
      </c>
      <c r="H20" s="94" t="inlineStr">
        <is>
          <t>Prior mother-order is demonized to authorize new male kingship.</t>
        </is>
      </c>
      <c r="I20" s="94" t="inlineStr">
        <is>
          <t>Narrative heist: older generative power becomes chaos needing conquest.</t>
        </is>
      </c>
      <c r="J20" s="94" t="inlineStr">
        <is>
          <t>Her body remains the world; the demonized feminine is foundational.</t>
        </is>
      </c>
      <c r="K20" s="94" t="inlineStr">
        <is>
          <t>Ymir; Tlaltecuhtli; Leviathan; Coyolxauhqui</t>
        </is>
      </c>
      <c r="L20" s="94" t="inlineStr">
        <is>
          <t>Tier 1-2</t>
        </is>
      </c>
      <c r="M20" s="94" t="inlineStr">
        <is>
          <t>Anchored (v0.20); tablet/line refs entered, primary NOT opened in-edition</t>
        </is>
      </c>
      <c r="N20" s="94" t="inlineStr">
        <is>
          <t>Not 'secretly good'; treat as crime scene / prior order.
[v0.19] Cross-listed with PB-001 (same figure, different cluster); cite once. DF reading (demonized feminine) is distinct from PB reading (corpse-world).
[v0.20 source-pass] Useful finding: the text itself stages the shift from protective mother to monster, so 'demonised' need not be imported from outside. Caveat recorded in the counter-reading column. Tiers untouched.</t>
        </is>
      </c>
      <c r="O20" s="94" t="inlineStr">
        <is>
          <t>MFM §7 / §8</t>
        </is>
      </c>
      <c r="P20" s="94" t="inlineStr">
        <is>
          <t>Enuma Elis, Tablets I-IV. Same primary as PB-001; different reading.</t>
        </is>
      </c>
      <c r="Q20" s="94" t="inlineStr">
        <is>
          <t>Ee I: Tiamat refuses Apsu's plan to destroy their children (the sympathetic phase). Ee II-IV: she becomes the monstrous adversary who appoints Qingu and raises the eleven creatures. The demonisation arc is internal to the text and datable within it - that is the row's strongest evidence. Pin the Tablet I lines.</t>
        </is>
      </c>
      <c r="R20" s="94" t="inlineStr">
        <is>
          <t>Lambert, W. G., Babylonian Creation Myths (Eisenbrauns, 2013) = standard critical edition. Dalley, S., Myths from Mesopotamia, rev. ed. (OUP, 2000) = working translation. Talon, SAACT 4. eBL (electronic Babylonian Library) for the composite text and line numbering.</t>
        </is>
      </c>
      <c r="S20" s="94" t="inlineStr">
        <is>
          <t>Use MR-01 + MR-03</t>
        </is>
      </c>
      <c r="T20" s="94" t="n"/>
      <c r="U20" s="94" t="inlineStr">
        <is>
          <t>Medium until source pass complete</t>
        </is>
      </c>
      <c r="V20" s="94" t="inlineStr">
        <is>
          <t>Run model review, then source-pass
[v0.20 source-pass] Pin Ee I lines for the refusal-of-Apsu passage.</t>
        </is>
      </c>
      <c r="W20" s="94" t="inlineStr">
        <is>
          <t>Lambert 2013, Babylonian Creation Myths, Eisenbrauns | Dalley 2000, Myths from Mesopotamia, OUP: Tablet I at p. 234, Tablet II at pp. 243-244, Tablet VI at p. 261 (pages verified via secondary quotation, not opened in-edition)</t>
        </is>
      </c>
      <c r="X20" s="94" t="inlineStr">
        <is>
          <t>2026-07-29</t>
        </is>
      </c>
      <c r="Y20" s="86" t="inlineStr">
        <is>
          <t>Tier 1</t>
        </is>
      </c>
      <c r="Z20" s="86" t="inlineStr">
        <is>
          <t>Tier 2</t>
        </is>
      </c>
      <c r="AA20" s="106" t="inlineStr">
        <is>
          <t>Supportive</t>
        </is>
      </c>
      <c r="AB20" s="86" t="inlineStr">
        <is>
          <t>DF-01's 'requires specialist mediation' element is absent. Tiamat is destroyed, not managed. Contrast DF-002 Lamashtu, where the warding apparatus is the entire point.</t>
        </is>
      </c>
      <c r="AC20" s="86" t="inlineStr">
        <is>
          <t>Partial fit</t>
        </is>
      </c>
      <c r="AD20" s="86" t="inlineStr">
        <is>
          <t>Same contested reading as PB-001: if Tiamat is primarily a cosmological principle, the gendered-administration frame is imported. The row is strongest on the internal protective-mother -&gt; monster shift, weakest on the mediation claim.</t>
        </is>
      </c>
      <c r="AE20" s="105" t="inlineStr">
        <is>
          <t>Legacy — not yet tagged</t>
        </is>
      </c>
      <c r="AF20" s="105" t="n"/>
      <c r="AG20" s="105" t="n"/>
    </row>
    <row r="21" ht="41.25" customHeight="1" s="61">
      <c r="A21" s="94" t="inlineStr">
        <is>
          <t>DF-002</t>
        </is>
      </c>
      <c r="B21" s="94" t="inlineStr">
        <is>
          <t>DF-01</t>
        </is>
      </c>
      <c r="C21" s="94" t="inlineStr">
        <is>
          <t>Demonized Feminine / Unadministrable Woman</t>
        </is>
      </c>
      <c r="D21" s="94" t="n"/>
      <c r="E21" s="94" t="inlineStr">
        <is>
          <t>Mesopotamian</t>
        </is>
      </c>
      <c r="F21" s="94" t="inlineStr">
        <is>
          <t>Lamashtu</t>
        </is>
      </c>
      <c r="G21" s="94" t="inlineStr">
        <is>
          <t>Female being linked with infant death, miscarriage, disease, childbirth danger.</t>
        </is>
      </c>
      <c r="H21" s="94" t="inlineStr">
        <is>
          <t>Birth-threshold terror personified as dangerous female power.</t>
        </is>
      </c>
      <c r="I21" s="94" t="inlineStr">
        <is>
          <t>Fear becomes symbol; ritual system mediates danger.</t>
        </is>
      </c>
      <c r="J21" s="94" t="inlineStr">
        <is>
          <t>Childbirth terror and family vulnerability remain underneath demon form.</t>
        </is>
      </c>
      <c r="K21" s="94" t="inlineStr">
        <is>
          <t>Lilith; Lamia; Strix; Pazuzu warding pair</t>
        </is>
      </c>
      <c r="L21" s="94" t="inlineStr">
        <is>
          <t>Tier 1-2</t>
        </is>
      </c>
      <c r="M21" s="94" t="inlineStr">
        <is>
          <t>Needs source pass</t>
        </is>
      </c>
      <c r="N21" s="94" t="inlineStr">
        <is>
          <t>Frame as druj-at-threshold, not Christian demon.
[v0.19] Paired case with BW-001 (Pazuzu): birth-threshold warding; function-scan, not good-vs-evil.</t>
        </is>
      </c>
      <c r="O21" s="94" t="inlineStr">
        <is>
          <t>MFM §10</t>
        </is>
      </c>
      <c r="P21" s="94" t="inlineStr">
        <is>
          <t>TBD: identify primary text/artifact</t>
        </is>
      </c>
      <c r="Q21" s="94" t="inlineStr">
        <is>
          <t>TBD: exact passage, tablet, chapter, hymn, codex plate, or oral-transcription source</t>
        </is>
      </c>
      <c r="R21" s="94" t="inlineStr">
        <is>
          <t>TBD: one reputable secondary source</t>
        </is>
      </c>
      <c r="S21" s="94" t="inlineStr">
        <is>
          <t>Use MR-01 + MR-03</t>
        </is>
      </c>
      <c r="T21" s="94" t="n"/>
      <c r="U21" s="94" t="inlineStr">
        <is>
          <t>Medium until source pass complete</t>
        </is>
      </c>
      <c r="V21" s="94" t="inlineStr">
        <is>
          <t>Run model review, then source-pass</t>
        </is>
      </c>
      <c r="W21" s="94" t="n"/>
      <c r="X21" s="94" t="n"/>
      <c r="Y21" s="86" t="inlineStr">
        <is>
          <t>Tier 1</t>
        </is>
      </c>
      <c r="Z21" s="86" t="inlineStr">
        <is>
          <t>Tier 1-2</t>
        </is>
      </c>
      <c r="AA21" s="104" t="inlineStr">
        <is>
          <t>Load-bearing</t>
        </is>
      </c>
      <c r="AB21" s="86" t="n"/>
      <c r="AC21" s="86" t="inlineStr">
        <is>
          <t>Not yet tested</t>
        </is>
      </c>
      <c r="AD21" s="86" t="n"/>
      <c r="AE21" s="105" t="inlineStr">
        <is>
          <t>Legacy — not yet tagged</t>
        </is>
      </c>
      <c r="AF21" s="105" t="n"/>
      <c r="AG21" s="105" t="n"/>
    </row>
    <row r="22" ht="41.25" customHeight="1" s="61">
      <c r="A22" s="94" t="inlineStr">
        <is>
          <t>DF-003</t>
        </is>
      </c>
      <c r="B22" s="94" t="inlineStr">
        <is>
          <t>DF-01</t>
        </is>
      </c>
      <c r="C22" s="94" t="inlineStr">
        <is>
          <t>Demonized Feminine / Unadministrable Woman</t>
        </is>
      </c>
      <c r="D22" s="94" t="n"/>
      <c r="E22" s="94" t="inlineStr">
        <is>
          <t>Jewish / later medieval drift</t>
        </is>
      </c>
      <c r="F22" s="94" t="inlineStr">
        <is>
          <t>Lilith</t>
        </is>
      </c>
      <c r="G22" s="94" t="inlineStr">
        <is>
          <t>Night demon / refusal figure in later popular story.</t>
        </is>
      </c>
      <c r="H22" s="94" t="inlineStr">
        <is>
          <t>Female sexual/autonomous refusal becomes demon grammar.</t>
        </is>
      </c>
      <c r="I22" s="94" t="inlineStr">
        <is>
          <t>Later tradition splits administrable woman from dangerous woman.</t>
        </is>
      </c>
      <c r="J22" s="94" t="inlineStr">
        <is>
          <t>Older night/demon material becomes autonomy symbol under pressure.</t>
        </is>
      </c>
      <c r="K22" s="94" t="inlineStr">
        <is>
          <t>Lamashtu; Lamia; Eve; witch figures</t>
        </is>
      </c>
      <c r="L22" s="94" t="inlineStr">
        <is>
          <t>Tier 1-2</t>
        </is>
      </c>
      <c r="M22" s="86" t="inlineStr">
        <is>
          <t>Anchored; Blair is counter-voice; stays Quarantine</t>
        </is>
      </c>
      <c r="N22" s="86" t="inlineStr">
        <is>
          <t>Caveat: refusal-submission story is medieval; older Lilith material differs.
[v0.19.1 source-pass] Dated strata: ancient night-demon (Isaiah/Talmud) vs medieval first-wife (Ben Sira, geonic c. 7th-10th c.) vs modern reclamation. Blair 2009 recorded as COUNTER-voice (verified thesis: lilith = night bird, not demon). Stays Quarantine. Tier unchanged.</t>
        </is>
      </c>
      <c r="O22" s="94" t="inlineStr">
        <is>
          <t>MFM §8</t>
        </is>
      </c>
      <c r="P22" s="86" t="inlineStr">
        <is>
          <t>Isaiah 34:14 (lilit among Edom's ruins); b. Shabbat 151b; b. Niddah 24b; Alphabet of Ben Sira (medieval) for the equality/refusal scene.</t>
        </is>
      </c>
      <c r="Q22" s="86" t="inlineStr">
        <is>
          <t>Isa 34:14; b. Shabbat 151b; b. Niddah 24b; Ben Sira refusal scene - verify in-edition.</t>
        </is>
      </c>
      <c r="R22" s="86" t="inlineStr">
        <is>
          <t>Blair, De-Demonising the Old Testament (Mohr Siebeck, 2009) - COUNTER-voice: argues lilith is a night bird, NOT a demon. Do NOT cite as support for the demonized-feminine reading.</t>
        </is>
      </c>
      <c r="S22" s="94" t="inlineStr">
        <is>
          <t>Use MR-01 + MR-03</t>
        </is>
      </c>
      <c r="T22" s="94" t="n"/>
      <c r="U22" s="94" t="inlineStr">
        <is>
          <t>Medium until source pass complete</t>
        </is>
      </c>
      <c r="V22" s="94" t="inlineStr">
        <is>
          <t>Run model review, then source-pass
[v0.19] SPLIT strata: (a) ancient lilitu night-demon, (b) medieval Alphabet of Ben Sira refusal-wife, (c) modern reclamation. Modern-overlay risk.
[v0.19.1] Quarantine = handling discipline, not weak evidence.</t>
        </is>
      </c>
      <c r="W22" s="86" t="inlineStr">
        <is>
          <t>Blair 2009 (Mohr Siebeck), ISBN 9783161501319; thesis: era.ed.ac.uk/handle/1842/3480</t>
        </is>
      </c>
      <c r="X22" s="94" t="n"/>
      <c r="Y22" s="86" t="inlineStr">
        <is>
          <t>Tier 2</t>
        </is>
      </c>
      <c r="Z22" s="86" t="inlineStr">
        <is>
          <t>Tier 3</t>
        </is>
      </c>
      <c r="AA22" s="109" t="inlineStr">
        <is>
          <t>Quarantine</t>
        </is>
      </c>
      <c r="AB22" s="86" t="n"/>
      <c r="AC22" s="86" t="inlineStr">
        <is>
          <t>Not yet tested</t>
        </is>
      </c>
      <c r="AD22" s="86" t="n"/>
      <c r="AE22" s="105" t="inlineStr">
        <is>
          <t>Legacy — not yet tagged</t>
        </is>
      </c>
      <c r="AF22" s="105" t="n"/>
      <c r="AG22" s="105" t="n"/>
    </row>
    <row r="23" ht="41.25" customHeight="1" s="61">
      <c r="A23" s="94" t="inlineStr">
        <is>
          <t>DF-004</t>
        </is>
      </c>
      <c r="B23" s="94" t="inlineStr">
        <is>
          <t>DF-01</t>
        </is>
      </c>
      <c r="C23" s="94" t="inlineStr">
        <is>
          <t>Demonized Feminine / Unadministrable Woman</t>
        </is>
      </c>
      <c r="D23" s="94" t="n"/>
      <c r="E23" s="94" t="inlineStr">
        <is>
          <t>Greek</t>
        </is>
      </c>
      <c r="F23" s="94" t="inlineStr">
        <is>
          <t>Medusa</t>
        </is>
      </c>
      <c r="G23" s="94" t="inlineStr">
        <is>
          <t>Monster woman killed; head becomes weapon/trophy.</t>
        </is>
      </c>
      <c r="H23" s="94" t="inlineStr">
        <is>
          <t>Dangerous female face/body is made killable and then usable by hero/order.</t>
        </is>
      </c>
      <c r="I23" s="94" t="inlineStr">
        <is>
          <t>Female terror is captured and weaponized by authorized male heroics.</t>
        </is>
      </c>
      <c r="J23" s="94" t="inlineStr">
        <is>
          <t>The head keeps power after death.</t>
        </is>
      </c>
      <c r="K23" s="94" t="inlineStr">
        <is>
          <t>Lamashtu; Lilith; Coyolxauhqui; Kali caveat</t>
        </is>
      </c>
      <c r="L23" s="94" t="inlineStr">
        <is>
          <t>Tier 2</t>
        </is>
      </c>
      <c r="M23" s="86" t="inlineStr">
        <is>
          <t>Partial; primary loci noted; secondary owed</t>
        </is>
      </c>
      <c r="N23" s="86" t="inlineStr">
        <is>
          <t>Many variants; avoid modern-only reduction.
[v0.19.1 source-pass] Sympathetic rape/transformation backstory is OVIDIAN (Metamorphoses 4), later reception - do NOT fold into primary. If the row leans on it as primary, possible tier-conflict: FLAGGED, tier NOT changed (K9-K11). Secondary still owed. Support: partial.</t>
        </is>
      </c>
      <c r="O23" s="94" t="inlineStr">
        <is>
          <t>Comparative candidate</t>
        </is>
      </c>
      <c r="P23" s="86" t="inlineStr">
        <is>
          <t>[Pseudo-]Apollodorus, Bibliotheca; Hesiod, Theogony (Gorgon genealogy). NOT primary: Ovid, Metamorphoses 4 (later reception).</t>
        </is>
      </c>
      <c r="Q23" s="86" t="inlineStr">
        <is>
          <t>Apollodorus 2.4.2-3 (Medusa beheaded; head set on Athena's aegis/shield); Hesiod, Theog. (Gorgon lineage).</t>
        </is>
      </c>
      <c r="R23" s="86" t="inlineStr">
        <is>
          <t>NOT FOUND - secondary still owed.</t>
        </is>
      </c>
      <c r="S23" s="94" t="inlineStr">
        <is>
          <t>Use MR-01 + MR-03</t>
        </is>
      </c>
      <c r="T23" s="94" t="n"/>
      <c r="U23" s="94" t="inlineStr">
        <is>
          <t>Medium until source pass complete</t>
        </is>
      </c>
      <c r="V23" s="94" t="inlineStr">
        <is>
          <t>Run model review, then source-pass
[v0.19] Source-pass: interpretation is version/iconography-dependent (Ovid = late reception); pin the version.</t>
        </is>
      </c>
      <c r="W23" s="86" t="inlineStr">
        <is>
          <t>Primary editions to confirm (Apollodorus 2.4.2-3; Hesiod Theogony). Secondary owed.</t>
        </is>
      </c>
      <c r="X23" s="94" t="n"/>
      <c r="Y23" s="86" t="inlineStr">
        <is>
          <t>Tier 2</t>
        </is>
      </c>
      <c r="Z23" s="86" t="inlineStr">
        <is>
          <t>Tier 3</t>
        </is>
      </c>
      <c r="AA23" s="107" t="inlineStr">
        <is>
          <t>Source-pass</t>
        </is>
      </c>
      <c r="AB23" s="86" t="n"/>
      <c r="AC23" s="86" t="inlineStr">
        <is>
          <t>Not yet tested</t>
        </is>
      </c>
      <c r="AD23" s="86" t="n"/>
      <c r="AE23" s="105" t="inlineStr">
        <is>
          <t>Legacy — not yet tagged</t>
        </is>
      </c>
      <c r="AF23" s="105" t="n"/>
      <c r="AG23" s="105" t="n"/>
    </row>
    <row r="24" ht="41.25" customHeight="1" s="61">
      <c r="A24" s="94" t="inlineStr">
        <is>
          <t>DF-005</t>
        </is>
      </c>
      <c r="B24" s="94" t="inlineStr">
        <is>
          <t>DF-01</t>
        </is>
      </c>
      <c r="C24" s="94" t="inlineStr">
        <is>
          <t>Demonized Feminine / Unadministrable Woman</t>
        </is>
      </c>
      <c r="D24" s="94" t="n"/>
      <c r="E24" s="94" t="inlineStr">
        <is>
          <t>Mexica / Nahua</t>
        </is>
      </c>
      <c r="F24" s="94" t="inlineStr">
        <is>
          <t>Coyolxauhqui</t>
        </is>
      </c>
      <c r="G24" s="94" t="inlineStr">
        <is>
          <t>Dismembered moon/sister figure defeated by Huitzilopochtli.</t>
        </is>
      </c>
      <c r="H24" s="94" t="inlineStr">
        <is>
          <t>Female/sibling rebel body cut apart by solar-war order.</t>
        </is>
      </c>
      <c r="I24" s="94" t="inlineStr">
        <is>
          <t>Dismemberment stabilizes warrior/state mythology.</t>
        </is>
      </c>
      <c r="J24" s="94" t="inlineStr">
        <is>
          <t>Her broken body remains visible as image/memory/remainder.</t>
        </is>
      </c>
      <c r="K24" s="94" t="inlineStr">
        <is>
          <t>Tiamat; Medusa; Tlaltecuhtli</t>
        </is>
      </c>
      <c r="L24" s="94" t="inlineStr">
        <is>
          <t>Tier 2</t>
        </is>
      </c>
      <c r="M24" s="86" t="inlineStr">
        <is>
          <t>Secondary verified; confirm FC folios then Sourced</t>
        </is>
      </c>
      <c r="N24" s="86" t="inlineStr">
        <is>
          <t>Mesoamerican source pass needed; do not overclaim before variants reviewed.
[v0.19.1 source-pass] UPGRADE candidate - closes the Audit-Notes 'needs Sahagun book/chapter' item. Milbrath 1997 supports the political/solar-conquest reading. Keep living-tradition/appropriation care. Sourced only after exact FC Bk 3 folios confirmed in-edition. Tier unchanged (K9-K11).</t>
        </is>
      </c>
      <c r="O24" s="94" t="inlineStr">
        <is>
          <t>Comparative candidate</t>
        </is>
      </c>
      <c r="P24" s="86" t="inlineStr">
        <is>
          <t>Florentine Codex (Sahagun), Book 3 'The Origin of the Gods' (Coatepec narrative). Artifact: Great Coyolxauhqui monolith, Templo Mayor.</t>
        </is>
      </c>
      <c r="Q24" s="86" t="inlineStr">
        <is>
          <t>Bk 3 fols. ~1r-2v (incitement ~1v; decapitation/dismemberment ~2v) - confirm exact folios in-edition (Dibble &amp; Anderson).</t>
        </is>
      </c>
      <c r="R24" s="86" t="inlineStr">
        <is>
          <t>Milbrath, 'Decapitated Lunar Goddesses in Aztec Art, Myth, and Ritual,' Ancient Mesoamerica 8 (1997): 185-206. [VERIFIED - supports solar-conquest reading]</t>
        </is>
      </c>
      <c r="S24" s="94" t="inlineStr">
        <is>
          <t>Use MR-01 + MR-03</t>
        </is>
      </c>
      <c r="T24" s="94" t="n"/>
      <c r="U24" s="94" t="inlineStr">
        <is>
          <t>Medium until source pass complete</t>
        </is>
      </c>
      <c r="V24" s="94" t="inlineStr">
        <is>
          <t>Run model review, then source-pass
[v0.19] Source-pass: pin Sahagun book/ch. + Coyolxauhqui-stone scholarship; appropriation care (Nahua packet).</t>
        </is>
      </c>
      <c r="W24" s="86" t="inlineStr">
        <is>
          <t>Milbrath 1997, Ancient Mesoamerica 8:185-206 (Cambridge). cambridge.org/core/journals/ancient-mesoamerica</t>
        </is>
      </c>
      <c r="X24" s="94" t="n"/>
      <c r="Y24" s="86" t="inlineStr">
        <is>
          <t>Tier 1</t>
        </is>
      </c>
      <c r="Z24" s="86" t="inlineStr">
        <is>
          <t>Tier 2</t>
        </is>
      </c>
      <c r="AA24" s="107" t="inlineStr">
        <is>
          <t>Source-pass</t>
        </is>
      </c>
      <c r="AB24" s="86" t="n"/>
      <c r="AC24" s="86" t="inlineStr">
        <is>
          <t>Not yet tested</t>
        </is>
      </c>
      <c r="AD24" s="86" t="n"/>
      <c r="AE24" s="105" t="inlineStr">
        <is>
          <t>Legacy — not yet tagged</t>
        </is>
      </c>
      <c r="AF24" s="105" t="n"/>
      <c r="AG24" s="105" t="n"/>
    </row>
    <row r="25" ht="41.25" customHeight="1" s="61">
      <c r="A25" s="94" t="inlineStr">
        <is>
          <t>TR-001</t>
        </is>
      </c>
      <c r="B25" s="94" t="inlineStr">
        <is>
          <t>TR-01</t>
        </is>
      </c>
      <c r="C25" s="94" t="inlineStr">
        <is>
          <t>Trickster / Unauthorized Intelligence</t>
        </is>
      </c>
      <c r="D25" s="94" t="n"/>
      <c r="E25" s="94" t="inlineStr">
        <is>
          <t>Mesopotamian</t>
        </is>
      </c>
      <c r="F25" s="94" t="inlineStr">
        <is>
          <t>Enki</t>
        </is>
      </c>
      <c r="G25" s="94" t="inlineStr">
        <is>
          <t>Clever operator helps humans, makes loopholes, works around Enlil's punishments.</t>
        </is>
      </c>
      <c r="H25" s="94" t="inlineStr">
        <is>
          <t>Bypass intelligence inside the official order.</t>
        </is>
      </c>
      <c r="I25" s="94" t="inlineStr">
        <is>
          <t>Order needs the trickster but cannot fully control him.</t>
        </is>
      </c>
      <c r="J25" s="94" t="inlineStr">
        <is>
          <t>Human survival often depends on his side-channel.</t>
        </is>
      </c>
      <c r="K25" s="94" t="inlineStr">
        <is>
          <t>Loki; Hermes; Anansi; Coyote; Quetzalcoatl</t>
        </is>
      </c>
      <c r="L25" s="94" t="inlineStr">
        <is>
          <t>Tier 1-2</t>
        </is>
      </c>
      <c r="M25" s="94" t="inlineStr">
        <is>
          <t>Anchored (v0.20); the reed-wall loophole is the load-bearing detail</t>
        </is>
      </c>
      <c r="N25" s="94" t="inlineStr">
        <is>
          <t>Not pure good; systems operator and loophole-maker.
[v0.20 source-pass] Complication recorded in the frame-test columns: in Tablet I, Enki's cleverness serves the senior gods by inventing a replacement labour force. That is the trickster acting FOR management. TR-01's diagnostic only describes the opposite direction.</t>
        </is>
      </c>
      <c r="O25" s="94" t="inlineStr">
        <is>
          <t>MFM §4 / user frame</t>
        </is>
      </c>
      <c r="P25" s="94" t="inlineStr">
        <is>
          <t>Atra-hasis, Tablet I (the proposal) and Tablet III i (the warning). Lambert &amp; Millard 1969.</t>
        </is>
      </c>
      <c r="Q25" s="94" t="inlineStr">
        <is>
          <t>Atra-hasis I: Enki resolves the Igigi strike by proposing the manufacture of a substitute workforce. Atra-hasis III i: bound by an oath not to warn humanity, Enki addresses the reed wall of Atrahasis's hut so that Atrahasis overhears - a loophole, not a breach. Pin both passages; the reed-wall device is the cleanest trickster anchor in the epic.</t>
        </is>
      </c>
      <c r="R25" s="94" t="inlineStr">
        <is>
          <t>Lambert &amp; Millard, Atra-hasis: The Babylonian Story of the Flood (1969; repr. Eisenbrauns 1999) = standard edition, with transliteration, translation and cuneiform drawings. Dalley 2000. Foster, Before the Muses. Compare Ee VI, where the same anthropogeny is attributed to Ea/Enki.</t>
        </is>
      </c>
      <c r="S25" s="94" t="inlineStr">
        <is>
          <t>Use MR-01 + MR-03</t>
        </is>
      </c>
      <c r="T25" s="94" t="n"/>
      <c r="U25" s="94" t="inlineStr">
        <is>
          <t>Medium until source pass complete</t>
        </is>
      </c>
      <c r="V25" s="94" t="inlineStr">
        <is>
          <t>Run model review, then source-pass
[v0.20 source-pass] Pin III i lines; review whether TR-01's diagnostic needs a second direction.</t>
        </is>
      </c>
      <c r="W25" s="94" t="inlineStr">
        <is>
          <t>Lambert &amp; Millard 1969 (repr. Eisenbrauns 1999), Atra-hasis | OB recension copied c. 1650 BCE under Ammi-saduqa; ~1,245 lines across 3 tablets, lacunose in places</t>
        </is>
      </c>
      <c r="X25" s="94" t="inlineStr">
        <is>
          <t>2026-07-29</t>
        </is>
      </c>
      <c r="Y25" s="86" t="inlineStr">
        <is>
          <t>Tier 1-2</t>
        </is>
      </c>
      <c r="Z25" s="86" t="inlineStr">
        <is>
          <t>Tier 2</t>
        </is>
      </c>
      <c r="AA25" s="106" t="inlineStr">
        <is>
          <t>Supportive</t>
        </is>
      </c>
      <c r="AB25" s="86" t="inlineStr">
        <is>
          <t>TR-01 predicts intelligence from below moving culture forward. In Atra-hasis I, Enki's cleverness ends a labour strike by manufacturing a replacement workforce - the trickster acting for management. The cluster's diagnostic has no slot for that direction.</t>
        </is>
      </c>
      <c r="AC25" s="86" t="inlineStr">
        <is>
          <t>Partial fit</t>
        </is>
      </c>
      <c r="AD25" s="86" t="inlineStr">
        <is>
          <t>'Unauthorized' is arguably the wrong word throughout: Enki is a senior god whose interventions are authorised by his own rank. Read that way, he is not a boundary-crosser from below but a competent administrator outmanoeuvring a peer.</t>
        </is>
      </c>
      <c r="AE25" s="105" t="inlineStr">
        <is>
          <t>Legacy — not yet tagged</t>
        </is>
      </c>
      <c r="AF25" s="105" t="n"/>
      <c r="AG25" s="105" t="n"/>
    </row>
    <row r="26" ht="41.25" customHeight="1" s="61">
      <c r="A26" s="94" t="inlineStr">
        <is>
          <t>TR-002</t>
        </is>
      </c>
      <c r="B26" s="94" t="inlineStr">
        <is>
          <t>TR-01</t>
        </is>
      </c>
      <c r="C26" s="94" t="inlineStr">
        <is>
          <t>Trickster / Unauthorized Intelligence</t>
        </is>
      </c>
      <c r="D26" s="94" t="n"/>
      <c r="E26" s="94" t="inlineStr">
        <is>
          <t>Norse</t>
        </is>
      </c>
      <c r="F26" s="94" t="inlineStr">
        <is>
          <t>Loki</t>
        </is>
      </c>
      <c r="G26" s="94" t="inlineStr">
        <is>
          <t>Disruptive kin-trickster among gods; causes and solves problems; destabilizes order.</t>
        </is>
      </c>
      <c r="H26" s="94" t="inlineStr">
        <is>
          <t>Unlicensed intelligence inside ruling house.</t>
        </is>
      </c>
      <c r="I26" s="94" t="inlineStr">
        <is>
          <t>The system tolerates the trickster until remainder becomes existential.</t>
        </is>
      </c>
      <c r="J26" s="94" t="inlineStr">
        <is>
          <t>His offspring and consequences exceed the administrative order.</t>
        </is>
      </c>
      <c r="K26" s="94" t="inlineStr">
        <is>
          <t>Enki; Coyote; Anansi; Hermes</t>
        </is>
      </c>
      <c r="L26" s="94" t="inlineStr">
        <is>
          <t>Tier 1-2</t>
        </is>
      </c>
      <c r="M26" s="94" t="inlineStr">
        <is>
          <t>Needs source pass</t>
        </is>
      </c>
      <c r="N26" s="94" t="inlineStr">
        <is>
          <t>Do not make Loki a simple rebel hero; ambivalent function.</t>
        </is>
      </c>
      <c r="O26" s="94" t="inlineStr">
        <is>
          <t>Comparative candidate</t>
        </is>
      </c>
      <c r="P26" s="94" t="inlineStr">
        <is>
          <t>TBD: identify primary text/artifact</t>
        </is>
      </c>
      <c r="Q26" s="94" t="inlineStr">
        <is>
          <t>TBD: exact passage, tablet, chapter, hymn, codex plate, or oral-transcription source</t>
        </is>
      </c>
      <c r="R26" s="94" t="inlineStr">
        <is>
          <t>TBD: one reputable secondary source</t>
        </is>
      </c>
      <c r="S26" s="94" t="inlineStr">
        <is>
          <t>Use MR-01 + MR-03</t>
        </is>
      </c>
      <c r="T26" s="94" t="n"/>
      <c r="U26" s="94" t="inlineStr">
        <is>
          <t>Medium until source pass complete</t>
        </is>
      </c>
      <c r="V26" s="94" t="inlineStr">
        <is>
          <t>Run model review, then source-pass</t>
        </is>
      </c>
      <c r="W26" s="94" t="n"/>
      <c r="X26" s="94" t="n"/>
      <c r="Y26" s="86" t="inlineStr">
        <is>
          <t>Tier 1</t>
        </is>
      </c>
      <c r="Z26" s="86" t="inlineStr">
        <is>
          <t>Tier 2</t>
        </is>
      </c>
      <c r="AA26" s="106" t="inlineStr">
        <is>
          <t>Supportive</t>
        </is>
      </c>
      <c r="AB26" s="86" t="n"/>
      <c r="AC26" s="86" t="inlineStr">
        <is>
          <t>Not yet tested</t>
        </is>
      </c>
      <c r="AD26" s="86" t="n"/>
      <c r="AE26" s="105" t="inlineStr">
        <is>
          <t>Legacy — not yet tagged</t>
        </is>
      </c>
      <c r="AF26" s="105" t="n"/>
      <c r="AG26" s="105" t="n"/>
    </row>
    <row r="27" ht="41.25" customHeight="1" s="61">
      <c r="A27" s="94" t="inlineStr">
        <is>
          <t>TR-003</t>
        </is>
      </c>
      <c r="B27" s="94" t="inlineStr">
        <is>
          <t>TR-01</t>
        </is>
      </c>
      <c r="C27" s="94" t="inlineStr">
        <is>
          <t>Trickster / Unauthorized Intelligence</t>
        </is>
      </c>
      <c r="D27" s="94" t="n"/>
      <c r="E27" s="94" t="inlineStr">
        <is>
          <t>Akan / West African</t>
        </is>
      </c>
      <c r="F27" s="94" t="inlineStr">
        <is>
          <t>Anansi</t>
        </is>
      </c>
      <c r="G27" s="94" t="inlineStr">
        <is>
          <t>Spider trickster wins stories/knowledge through cunning.</t>
        </is>
      </c>
      <c r="H27" s="94" t="inlineStr">
        <is>
          <t>Weak actor beats stronger order through story, deception, wit.</t>
        </is>
      </c>
      <c r="I27" s="94" t="inlineStr">
        <is>
          <t>Narrative itself becomes bypass technology.</t>
        </is>
      </c>
      <c r="J27" s="94" t="inlineStr">
        <is>
          <t>Stories remain portable power below formal hierarchy.</t>
        </is>
      </c>
      <c r="K27" s="94" t="inlineStr">
        <is>
          <t>Coyote; Raven; Loki; Hermes</t>
        </is>
      </c>
      <c r="L27" s="94" t="inlineStr">
        <is>
          <t>Tier 1-2</t>
        </is>
      </c>
      <c r="M27" s="94" t="inlineStr">
        <is>
          <t>Needs source pass</t>
        </is>
      </c>
      <c r="N27" s="94" t="inlineStr">
        <is>
          <t>Important sub-Saharan line for less-administered monkey intelligence.</t>
        </is>
      </c>
      <c r="O27" s="94" t="inlineStr">
        <is>
          <t>Comparative candidate</t>
        </is>
      </c>
      <c r="P27" s="94" t="inlineStr">
        <is>
          <t>TBD: identify primary text/artifact</t>
        </is>
      </c>
      <c r="Q27" s="94" t="inlineStr">
        <is>
          <t>TBD: exact passage, tablet, chapter, hymn, codex plate, or oral-transcription source</t>
        </is>
      </c>
      <c r="R27" s="94" t="inlineStr">
        <is>
          <t>TBD: one reputable secondary source</t>
        </is>
      </c>
      <c r="S27" s="94" t="inlineStr">
        <is>
          <t>Use MR-01 + MR-03</t>
        </is>
      </c>
      <c r="T27" s="94" t="n"/>
      <c r="U27" s="94" t="inlineStr">
        <is>
          <t>Medium until source pass complete</t>
        </is>
      </c>
      <c r="V27" s="94" t="inlineStr">
        <is>
          <t>Run model review, then source-pass
[v0.19] Source-pass: needs named Akan/tradition + collector; no flattening.</t>
        </is>
      </c>
      <c r="W27" s="94" t="n"/>
      <c r="X27" s="94" t="n"/>
      <c r="Y27" s="86" t="inlineStr">
        <is>
          <t>Tier 2</t>
        </is>
      </c>
      <c r="Z27" s="86" t="inlineStr">
        <is>
          <t>Tier 2</t>
        </is>
      </c>
      <c r="AA27" s="107" t="inlineStr">
        <is>
          <t>Source-pass</t>
        </is>
      </c>
      <c r="AB27" s="86" t="n"/>
      <c r="AC27" s="86" t="inlineStr">
        <is>
          <t>Not yet tested</t>
        </is>
      </c>
      <c r="AD27" s="86" t="n"/>
      <c r="AE27" s="105" t="inlineStr">
        <is>
          <t>Legacy — not yet tagged</t>
        </is>
      </c>
      <c r="AF27" s="105" t="n"/>
      <c r="AG27" s="105" t="n"/>
    </row>
    <row r="28" ht="41.25" customHeight="1" s="61">
      <c r="A28" s="94" t="inlineStr">
        <is>
          <t>TR-004</t>
        </is>
      </c>
      <c r="B28" s="94" t="inlineStr">
        <is>
          <t>TR-01</t>
        </is>
      </c>
      <c r="C28" s="94" t="inlineStr">
        <is>
          <t>Trickster / Unauthorized Intelligence</t>
        </is>
      </c>
      <c r="D28" s="94" t="n"/>
      <c r="E28" s="94" t="inlineStr">
        <is>
          <t>Indigenous North American</t>
        </is>
      </c>
      <c r="F28" s="94" t="inlineStr">
        <is>
          <t>Coyote</t>
        </is>
      </c>
      <c r="G28" s="94" t="inlineStr">
        <is>
          <t>Creator/disruptor; breaks rules, creates features of world, teaches by mistake.</t>
        </is>
      </c>
      <c r="H28" s="94" t="inlineStr">
        <is>
          <t>Monkey intelligence as error, hunger, sex, improvisation, and adaptation.</t>
        </is>
      </c>
      <c r="I28" s="94" t="inlineStr">
        <is>
          <t>Order emerges through mistakes rather than decree.</t>
        </is>
      </c>
      <c r="J28" s="94" t="inlineStr">
        <is>
          <t>Mischief remains as pedagogy.</t>
        </is>
      </c>
      <c r="K28" s="94" t="inlineStr">
        <is>
          <t>Anansi; Raven; Loki; Māui</t>
        </is>
      </c>
      <c r="L28" s="94" t="inlineStr">
        <is>
          <t>Tier 2</t>
        </is>
      </c>
      <c r="M28" s="86" t="inlineStr">
        <is>
          <t>Citation fixed (Ramsey 1977); stays Quarantine</t>
        </is>
      </c>
      <c r="N28" s="86" t="inlineStr">
        <is>
          <t>Must specify nation/version; do not pan-Indigenous flatten.
[v0.19.1 source-pass] CITATION FIX: secondary is Ramsey 1977 (Univ. of Washington Press), NOT the GPT 'Toelken, Coyote Was Going There, Utah, 1984' (a hybrid error). NOTE region mismatch: Ramsey = Oregon-country anthology (general Coyote scholarship); the specific earth-diver primary is the Pohonichi Miwok version in Kroeber 1907 (S-Central California) - do not conflate. Pan-Coyote flattening risk. Stays Quarantine. Tier unchanged.</t>
        </is>
      </c>
      <c r="O28" s="94" t="inlineStr">
        <is>
          <t>Comparative candidate</t>
        </is>
      </c>
      <c r="P28" s="86" t="inlineStr">
        <is>
          <t>Kroeber, 'Indian Myths of South-Central California' (UC Publ. AAE 4:4, 1907) - Pohonichi Miwok earth-diver (Coyote + duck retrieve earth -&gt; world).</t>
        </is>
      </c>
      <c r="Q28" s="86" t="inlineStr">
        <is>
          <t>Pohonichi Miwok earth-diver - confirm exact myth/page in Kroeber 1907.</t>
        </is>
      </c>
      <c r="R28" s="86" t="inlineStr">
        <is>
          <t>Ramsey (ed.), Coyote Was Going There: Indian Literature of the Oregon Country (Univ. of Washington Press, 1977) - CORRECTED (GPT's 'Toelken, Utah, 1984' was a hybrid error). General Coyote-literature scholarship.</t>
        </is>
      </c>
      <c r="S28" s="94" t="inlineStr">
        <is>
          <t>Use MR-01 + MR-03</t>
        </is>
      </c>
      <c r="T28" s="94" t="n"/>
      <c r="U28" s="94" t="inlineStr">
        <is>
          <t>Medium until source pass complete</t>
        </is>
      </c>
      <c r="V28" s="94" t="inlineStr">
        <is>
          <t>Run model review, then source-pass
[v0.19] QUARANTINE: do not use until tied to a named nation/version/collector.
[v0.19.1] Motif Tier 3 reflects row-format/source-flattening, not denial of the motif in specific nations.</t>
        </is>
      </c>
      <c r="W28" s="86" t="inlineStr">
        <is>
          <t>Ramsey (ed.) 1977 (UW Press), ISBN 9780295957319 / 0295954418.</t>
        </is>
      </c>
      <c r="X28" s="94" t="n"/>
      <c r="Y28" s="86" t="inlineStr">
        <is>
          <t>Tier 3</t>
        </is>
      </c>
      <c r="Z28" s="86" t="inlineStr">
        <is>
          <t>Tier 3</t>
        </is>
      </c>
      <c r="AA28" s="109" t="inlineStr">
        <is>
          <t>Quarantine</t>
        </is>
      </c>
      <c r="AB28" s="86" t="n"/>
      <c r="AC28" s="86" t="inlineStr">
        <is>
          <t>Not yet tested</t>
        </is>
      </c>
      <c r="AD28" s="86" t="n"/>
      <c r="AE28" s="105" t="inlineStr">
        <is>
          <t>Legacy — not yet tagged</t>
        </is>
      </c>
      <c r="AF28" s="105" t="n"/>
      <c r="AG28" s="105" t="n"/>
    </row>
    <row r="29" ht="41.25" customHeight="1" s="61">
      <c r="A29" s="94" t="inlineStr">
        <is>
          <t>TR-005</t>
        </is>
      </c>
      <c r="B29" s="94" t="inlineStr">
        <is>
          <t>TR-01</t>
        </is>
      </c>
      <c r="C29" s="94" t="inlineStr">
        <is>
          <t>Trickster / Unauthorized Intelligence</t>
        </is>
      </c>
      <c r="D29" s="94" t="n"/>
      <c r="E29" s="94" t="inlineStr">
        <is>
          <t>Greek</t>
        </is>
      </c>
      <c r="F29" s="94" t="inlineStr">
        <is>
          <t>Hermes</t>
        </is>
      </c>
      <c r="G29" s="94" t="inlineStr">
        <is>
          <t>Thief, messenger, boundary-crosser, guide, trickster.</t>
        </is>
      </c>
      <c r="H29" s="94" t="inlineStr">
        <is>
          <t>Boundary intelligence moves between systems and steals from authority.</t>
        </is>
      </c>
      <c r="I29" s="94" t="inlineStr">
        <is>
          <t>The order licenses him as messenger but he remains slippery.</t>
        </is>
      </c>
      <c r="J29" s="94" t="inlineStr">
        <is>
          <t>Trade, language, theft, travel, and mediation keep moving.</t>
        </is>
      </c>
      <c r="K29" s="94" t="inlineStr">
        <is>
          <t>Loki; Anansi; Eshu; Enki</t>
        </is>
      </c>
      <c r="L29" s="94" t="inlineStr">
        <is>
          <t>Tier 1-2</t>
        </is>
      </c>
      <c r="M29" s="94" t="inlineStr">
        <is>
          <t>Needs source pass</t>
        </is>
      </c>
      <c r="N29" s="94" t="inlineStr">
        <is>
          <t>Bridge between trickster and official mediator.</t>
        </is>
      </c>
      <c r="O29" s="94" t="inlineStr">
        <is>
          <t>Comparative candidate</t>
        </is>
      </c>
      <c r="P29" s="94" t="inlineStr">
        <is>
          <t>TBD: identify primary text/artifact</t>
        </is>
      </c>
      <c r="Q29" s="94" t="inlineStr">
        <is>
          <t>TBD: exact passage, tablet, chapter, hymn, codex plate, or oral-transcription source</t>
        </is>
      </c>
      <c r="R29" s="94" t="inlineStr">
        <is>
          <t>TBD: one reputable secondary source</t>
        </is>
      </c>
      <c r="S29" s="94" t="inlineStr">
        <is>
          <t>Use MR-01 + MR-03</t>
        </is>
      </c>
      <c r="T29" s="94" t="n"/>
      <c r="U29" s="94" t="inlineStr">
        <is>
          <t>Medium until source pass complete</t>
        </is>
      </c>
      <c r="V29" s="94" t="inlineStr">
        <is>
          <t>Run model review, then source-pass</t>
        </is>
      </c>
      <c r="W29" s="94" t="n"/>
      <c r="X29" s="94" t="n"/>
      <c r="Y29" s="86" t="inlineStr">
        <is>
          <t>Tier 1</t>
        </is>
      </c>
      <c r="Z29" s="86" t="inlineStr">
        <is>
          <t>Tier 1-2</t>
        </is>
      </c>
      <c r="AA29" s="106" t="inlineStr">
        <is>
          <t>Supportive</t>
        </is>
      </c>
      <c r="AB29" s="86" t="n"/>
      <c r="AC29" s="86" t="inlineStr">
        <is>
          <t>Not yet tested</t>
        </is>
      </c>
      <c r="AD29" s="86" t="n"/>
      <c r="AE29" s="105" t="inlineStr">
        <is>
          <t>Ancient textual core</t>
        </is>
      </c>
      <c r="AF29" s="105" t="inlineStr">
        <is>
          <t>Homeric Hymn: theft, slippery testimony, Zeus's order to resolve, reciprocal exchange, honors. Modern court/non-compete language is analogy.</t>
        </is>
      </c>
      <c r="AG29" s="105" t="inlineStr">
        <is>
          <t>CO-01; TH-01; VA-01</t>
        </is>
      </c>
    </row>
    <row r="30" ht="41.25" customHeight="1" s="61">
      <c r="A30" s="94" t="inlineStr">
        <is>
          <t>SC-001</t>
        </is>
      </c>
      <c r="B30" s="94" t="inlineStr">
        <is>
          <t>SC-01</t>
        </is>
      </c>
      <c r="C30" s="94" t="inlineStr">
        <is>
          <t>Scapegoat / Founding Violence</t>
        </is>
      </c>
      <c r="D30" s="94" t="n"/>
      <c r="E30" s="94" t="inlineStr">
        <is>
          <t>Hebrew / Biblical</t>
        </is>
      </c>
      <c r="F30" s="94" t="inlineStr">
        <is>
          <t>Cain and Abel</t>
        </is>
      </c>
      <c r="G30" s="94" t="inlineStr">
        <is>
          <t>Brother kills brother; marked survivor; city/foundation implications.</t>
        </is>
      </c>
      <c r="H30" s="94" t="inlineStr">
        <is>
          <t>Fratricide and founding violence at origin of social order.</t>
        </is>
      </c>
      <c r="I30" s="94" t="inlineStr">
        <is>
          <t>Violence is marked, remembered, and managed through story.</t>
        </is>
      </c>
      <c r="J30" s="94" t="inlineStr">
        <is>
          <t>The mark preserves the wound and protects the survivor.</t>
        </is>
      </c>
      <c r="K30" s="94" t="inlineStr">
        <is>
          <t>Romulus/Remus; Osiris/Set; divine succession myths</t>
        </is>
      </c>
      <c r="L30" s="94" t="inlineStr">
        <is>
          <t>Tier 1-2</t>
        </is>
      </c>
      <c r="M30" s="94" t="inlineStr">
        <is>
          <t>Needs source pass</t>
        </is>
      </c>
      <c r="N30" s="94" t="inlineStr">
        <is>
          <t>Use Girard carefully as contested model.</t>
        </is>
      </c>
      <c r="O30" s="94" t="inlineStr">
        <is>
          <t>MFM §6B</t>
        </is>
      </c>
      <c r="P30" s="94" t="inlineStr">
        <is>
          <t>TBD: identify primary text/artifact</t>
        </is>
      </c>
      <c r="Q30" s="94" t="inlineStr">
        <is>
          <t>TBD: exact passage, tablet, chapter, hymn, codex plate, or oral-transcription source</t>
        </is>
      </c>
      <c r="R30" s="94" t="inlineStr">
        <is>
          <t>TBD: one reputable secondary source</t>
        </is>
      </c>
      <c r="S30" s="94" t="inlineStr">
        <is>
          <t>Use MR-01 + MR-03</t>
        </is>
      </c>
      <c r="T30" s="94" t="n"/>
      <c r="U30" s="94" t="inlineStr">
        <is>
          <t>Medium until source pass complete</t>
        </is>
      </c>
      <c r="V30" s="94" t="inlineStr">
        <is>
          <t>Run model review, then source-pass</t>
        </is>
      </c>
      <c r="W30" s="94" t="n"/>
      <c r="X30" s="94" t="n"/>
      <c r="Y30" s="86" t="inlineStr">
        <is>
          <t>Tier 1</t>
        </is>
      </c>
      <c r="Z30" s="86" t="inlineStr">
        <is>
          <t>Tier 2</t>
        </is>
      </c>
      <c r="AA30" s="106" t="inlineStr">
        <is>
          <t>Supportive</t>
        </is>
      </c>
      <c r="AB30" s="86" t="n"/>
      <c r="AC30" s="86" t="inlineStr">
        <is>
          <t>Not yet tested</t>
        </is>
      </c>
      <c r="AD30" s="86" t="n"/>
      <c r="AE30" s="105" t="inlineStr">
        <is>
          <t>Legacy — not yet tagged</t>
        </is>
      </c>
      <c r="AF30" s="105" t="n"/>
      <c r="AG30" s="105" t="n"/>
    </row>
    <row r="31" ht="41.25" customHeight="1" s="61">
      <c r="A31" s="94" t="inlineStr">
        <is>
          <t>SC-002</t>
        </is>
      </c>
      <c r="B31" s="94" t="inlineStr">
        <is>
          <t>SC-01</t>
        </is>
      </c>
      <c r="C31" s="94" t="inlineStr">
        <is>
          <t>Scapegoat / Founding Violence</t>
        </is>
      </c>
      <c r="D31" s="94" t="n"/>
      <c r="E31" s="94" t="inlineStr">
        <is>
          <t>Roman</t>
        </is>
      </c>
      <c r="F31" s="94" t="inlineStr">
        <is>
          <t>Romulus and Remus</t>
        </is>
      </c>
      <c r="G31" s="94" t="inlineStr">
        <is>
          <t>Brother kills brother at founding of Rome.</t>
        </is>
      </c>
      <c r="H31" s="94" t="inlineStr">
        <is>
          <t>City begins with boundary violence and sibling succession.</t>
        </is>
      </c>
      <c r="I31" s="94" t="inlineStr">
        <is>
          <t>Founding murder becomes civic legitimacy.</t>
        </is>
      </c>
      <c r="J31" s="94" t="inlineStr">
        <is>
          <t>The dead brother remains under/around the wall.</t>
        </is>
      </c>
      <c r="K31" s="94" t="inlineStr">
        <is>
          <t>Cain/Abel; Set/Osiris; fratricide motifs</t>
        </is>
      </c>
      <c r="L31" s="94" t="inlineStr">
        <is>
          <t>Tier 1-2</t>
        </is>
      </c>
      <c r="M31" s="94" t="inlineStr">
        <is>
          <t>Needs source pass</t>
        </is>
      </c>
      <c r="N31" s="94" t="inlineStr">
        <is>
          <t>Strong sacred geography + boundary claim row.</t>
        </is>
      </c>
      <c r="O31" s="94" t="inlineStr">
        <is>
          <t>MFM §6 / §6B</t>
        </is>
      </c>
      <c r="P31" s="94" t="inlineStr">
        <is>
          <t>TBD: identify primary text/artifact</t>
        </is>
      </c>
      <c r="Q31" s="94" t="inlineStr">
        <is>
          <t>TBD: exact passage, tablet, chapter, hymn, codex plate, or oral-transcription source</t>
        </is>
      </c>
      <c r="R31" s="94" t="inlineStr">
        <is>
          <t>TBD: one reputable secondary source</t>
        </is>
      </c>
      <c r="S31" s="94" t="inlineStr">
        <is>
          <t>Use MR-01 + MR-03</t>
        </is>
      </c>
      <c r="T31" s="94" t="n"/>
      <c r="U31" s="94" t="inlineStr">
        <is>
          <t>Medium until source pass complete</t>
        </is>
      </c>
      <c r="V31" s="94" t="inlineStr">
        <is>
          <t>Run model review, then source-pass</t>
        </is>
      </c>
      <c r="W31" s="94" t="n"/>
      <c r="X31" s="94" t="n"/>
      <c r="Y31" s="86" t="inlineStr">
        <is>
          <t>Tier 1</t>
        </is>
      </c>
      <c r="Z31" s="86" t="inlineStr">
        <is>
          <t>Tier 1-2</t>
        </is>
      </c>
      <c r="AA31" s="106" t="inlineStr">
        <is>
          <t>Supportive</t>
        </is>
      </c>
      <c r="AB31" s="86" t="n"/>
      <c r="AC31" s="86" t="inlineStr">
        <is>
          <t>Not yet tested</t>
        </is>
      </c>
      <c r="AD31" s="86" t="n"/>
      <c r="AE31" s="105" t="inlineStr">
        <is>
          <t>Legacy — not yet tagged</t>
        </is>
      </c>
      <c r="AF31" s="105" t="n"/>
      <c r="AG31" s="105" t="n"/>
    </row>
    <row r="32" ht="41.25" customHeight="1" s="61">
      <c r="A32" s="94" t="inlineStr">
        <is>
          <t>SC-003</t>
        </is>
      </c>
      <c r="B32" s="94" t="inlineStr">
        <is>
          <t>SC-01</t>
        </is>
      </c>
      <c r="C32" s="94" t="inlineStr">
        <is>
          <t>Scapegoat / Founding Violence</t>
        </is>
      </c>
      <c r="D32" s="94" t="n"/>
      <c r="E32" s="94" t="inlineStr">
        <is>
          <t>Egyptian</t>
        </is>
      </c>
      <c r="F32" s="94" t="inlineStr">
        <is>
          <t>Osiris / Set / Horus</t>
        </is>
      </c>
      <c r="G32" s="94" t="inlineStr">
        <is>
          <t>Brother murders king; body restored; inheritance contest continues through Horus.</t>
        </is>
      </c>
      <c r="H32" s="94" t="inlineStr">
        <is>
          <t>Dynastic murder, body restoration, inheritance legitimacy.</t>
        </is>
      </c>
      <c r="I32" s="94" t="inlineStr">
        <is>
          <t>Death/return manages succession and kingship theology.</t>
        </is>
      </c>
      <c r="J32" s="94" t="inlineStr">
        <is>
          <t>Dead king remains ruler of underworld; wound repeats ritually.</t>
        </is>
      </c>
      <c r="K32" s="94" t="inlineStr">
        <is>
          <t>Dionysus; Tammuz; Christ-type readings; Cain/Abel</t>
        </is>
      </c>
      <c r="L32" s="94" t="inlineStr">
        <is>
          <t>Tier 1-2</t>
        </is>
      </c>
      <c r="M32" s="94" t="inlineStr">
        <is>
          <t>Needs source pass</t>
        </is>
      </c>
      <c r="N32" s="94" t="inlineStr">
        <is>
          <t>Avoid reducing rich devotional/theological layers.
[v0.19] Cross-listed with DT-003 (Osiris). Connected narrative leans on Plutarch (late) - date it.</t>
        </is>
      </c>
      <c r="O32" s="94" t="inlineStr">
        <is>
          <t>MFM §6B</t>
        </is>
      </c>
      <c r="P32" s="94" t="inlineStr">
        <is>
          <t>TBD: identify primary text/artifact</t>
        </is>
      </c>
      <c r="Q32" s="94" t="inlineStr">
        <is>
          <t>TBD: exact passage, tablet, chapter, hymn, codex plate, or oral-transcription source</t>
        </is>
      </c>
      <c r="R32" s="94" t="inlineStr">
        <is>
          <t>TBD: one reputable secondary source</t>
        </is>
      </c>
      <c r="S32" s="94" t="inlineStr">
        <is>
          <t>Use MR-01 + MR-03</t>
        </is>
      </c>
      <c r="T32" s="94" t="n"/>
      <c r="U32" s="94" t="inlineStr">
        <is>
          <t>Medium until source pass complete</t>
        </is>
      </c>
      <c r="V32" s="94" t="inlineStr">
        <is>
          <t>Run model review, then source-pass</t>
        </is>
      </c>
      <c r="W32" s="94" t="n"/>
      <c r="X32" s="94" t="n"/>
      <c r="Y32" s="86" t="inlineStr">
        <is>
          <t>Tier 1-2</t>
        </is>
      </c>
      <c r="Z32" s="86" t="inlineStr">
        <is>
          <t>Tier 2</t>
        </is>
      </c>
      <c r="AA32" s="106" t="inlineStr">
        <is>
          <t>Supportive</t>
        </is>
      </c>
      <c r="AB32" s="86" t="n"/>
      <c r="AC32" s="86" t="inlineStr">
        <is>
          <t>Not yet tested</t>
        </is>
      </c>
      <c r="AD32" s="86" t="n"/>
      <c r="AE32" s="105" t="inlineStr">
        <is>
          <t>Legacy — not yet tagged</t>
        </is>
      </c>
      <c r="AF32" s="105" t="n"/>
      <c r="AG32" s="105" t="n"/>
    </row>
    <row r="33" ht="41.25" customHeight="1" s="61">
      <c r="A33" s="94" t="inlineStr">
        <is>
          <t>FM-001</t>
        </is>
      </c>
      <c r="B33" s="94" t="inlineStr">
        <is>
          <t>FM-01</t>
        </is>
      </c>
      <c r="C33" s="94" t="inlineStr">
        <is>
          <t>Flood / Reset Memory</t>
        </is>
      </c>
      <c r="D33" s="94" t="n"/>
      <c r="E33" s="94" t="inlineStr">
        <is>
          <t>Mesopotamian</t>
        </is>
      </c>
      <c r="F33" s="94" t="inlineStr">
        <is>
          <t>Atrahasis flood</t>
        </is>
      </c>
      <c r="G33" s="94" t="inlineStr">
        <is>
          <t>Humans become too numerous/noisy; gods send plagues/drought/flood; survivor warned.</t>
        </is>
      </c>
      <c r="H33" s="94" t="inlineStr">
        <is>
          <t>Population/labor/noise management becomes destruction/reset myth.</t>
        </is>
      </c>
      <c r="I33" s="94" t="inlineStr">
        <is>
          <t>Disaster becomes cosmic discipline; survival passes through side-channel warning.</t>
        </is>
      </c>
      <c r="J33" s="94" t="inlineStr">
        <is>
          <t>Humanity survives but under new conditions/limits.</t>
        </is>
      </c>
      <c r="K33" s="94" t="inlineStr">
        <is>
          <t>Noah; Deucalion; Manu</t>
        </is>
      </c>
      <c r="L33" s="94" t="inlineStr">
        <is>
          <t>Tier 1</t>
        </is>
      </c>
      <c r="M33" s="94" t="inlineStr">
        <is>
          <t>Anchored (v0.20); episode sequence firm, line numbers approximate</t>
        </is>
      </c>
      <c r="N33" s="94" t="inlineStr">
        <is>
          <t>Strong connection to labor revolt and management crisis.
[v0.20 source-pass] Two findings. (1) The labour revolt is in the text and is the causal engine of human creation - this substantiates the 'Atrahasis labor row' the Index lists as OWED, and it is a stronger RF-01 anchor than a flood row. (2) The flood is the THIRD control after plague and drought, and is followed by permanent demographic regulation. 'Reset' understates a graduated population-management sequence; FM-01's framing may need widening. Tiers untouched.</t>
        </is>
      </c>
      <c r="O33" s="94" t="inlineStr">
        <is>
          <t>MFM §4 / §11</t>
        </is>
      </c>
      <c r="P33" s="94" t="inlineStr">
        <is>
          <t>Atra-hasis, Old Babylonian recension (scribe Ku-Aya, reign of Ammi-saduqa, c. 1650 BCE). Standard edition: Lambert &amp; Millard 1969. Translations: Dalley 2000; Foster, Before the Muses.</t>
        </is>
      </c>
      <c r="Q33" s="94" t="inlineStr">
        <is>
          <t>Tablet I 1-6: 'when the gods instead of man did the work, bore the loads' - the epic opens on a labour crisis, not a creation. I 11-18: casting of lots (Anu/heaven, Enlil/earth, Enki/the sea-bolt). I ~37-90: the Igigi burn their tools and besiege Enlil's Ekur by night; their spokesman declares every god has joined. I ~170-260: Enki proposes a replacement worker; We-ila is slaughtered; Mami mixes clay with his flesh and blood; 'I have imposed your drudgery on man... I have released the yoke'. Tablets I-II: population growth and noise met with graduated checks (plague, then drought, then famine). Tablet III: the flood; Enki's warning; post-flood regulations on childbirth, infant mortality and celibate classes. ALL line numbers approximate - pin in Lambert &amp; Millard.</t>
        </is>
      </c>
      <c r="R33" s="94" t="inlineStr">
        <is>
          <t>Lambert &amp; Millard, Atra-hasis: The Babylonian Story of the Flood (1969; repr. Eisenbrauns 1999) = standard edition, with transliteration, translation and cuneiform drawings. Dalley 2000. Foster, Before the Muses.</t>
        </is>
      </c>
      <c r="S33" s="94" t="inlineStr">
        <is>
          <t>Use MR-01 + MR-03</t>
        </is>
      </c>
      <c r="T33" s="94" t="n"/>
      <c r="U33" s="94" t="inlineStr">
        <is>
          <t>Medium until source pass complete</t>
        </is>
      </c>
      <c r="V33" s="94" t="inlineStr">
        <is>
          <t>Run model review, then source-pass
[v0.20 source-pass] Pin L&amp;M line numbers; then split the labour-revolt row out of FM-001 into RF-01.</t>
        </is>
      </c>
      <c r="W33" s="94" t="inlineStr">
        <is>
          <t>Lambert &amp; Millard 1969 (repr. Eisenbrauns 1999), Atra-hasis | OB recension copied c. 1650 BCE under Ammi-saduqa; ~1,245 lines across 3 tablets, lacunose in places</t>
        </is>
      </c>
      <c r="X33" s="94" t="inlineStr">
        <is>
          <t>2026-07-29</t>
        </is>
      </c>
      <c r="Y33" s="86" t="inlineStr">
        <is>
          <t>Tier 1</t>
        </is>
      </c>
      <c r="Z33" s="86" t="inlineStr">
        <is>
          <t>Tier 1</t>
        </is>
      </c>
      <c r="AA33" s="104" t="inlineStr">
        <is>
          <t>Load-bearing</t>
        </is>
      </c>
      <c r="AB33" s="86" t="inlineStr">
        <is>
          <t>None for FM-01 as written - but the flood is the third control after plague and drought, so 'reset' understates a graduated demographic-management sequence.</t>
        </is>
      </c>
      <c r="AC33" s="86" t="inlineStr">
        <is>
          <t>Fits</t>
        </is>
      </c>
      <c r="AD33" s="86" t="inlineStr">
        <is>
          <t>Reading the post-flood birth restrictions as population policy is a modern frame. The text may be offering cultic aetiology for existing social facts - infant mortality, celibate classes - rather than describing administrative control.</t>
        </is>
      </c>
      <c r="AE33" s="105" t="inlineStr">
        <is>
          <t>Legacy — not yet tagged</t>
        </is>
      </c>
      <c r="AF33" s="105" t="n"/>
      <c r="AG33" s="105" t="n"/>
    </row>
    <row r="34" ht="41.25" customHeight="1" s="61">
      <c r="A34" s="94" t="inlineStr">
        <is>
          <t>FM-002</t>
        </is>
      </c>
      <c r="B34" s="94" t="inlineStr">
        <is>
          <t>FM-01</t>
        </is>
      </c>
      <c r="C34" s="94" t="inlineStr">
        <is>
          <t>Flood / Reset Memory</t>
        </is>
      </c>
      <c r="D34" s="94" t="n"/>
      <c r="E34" s="94" t="inlineStr">
        <is>
          <t>Biblical</t>
        </is>
      </c>
      <c r="F34" s="94" t="inlineStr">
        <is>
          <t>Noah flood</t>
        </is>
      </c>
      <c r="G34" s="94" t="inlineStr">
        <is>
          <t>World corruption leads to divine flood; one family survives.</t>
        </is>
      </c>
      <c r="H34" s="94" t="inlineStr">
        <is>
          <t>Catastrophe is moralized; social reset framed as judgment.</t>
        </is>
      </c>
      <c r="I34" s="94" t="inlineStr">
        <is>
          <t>Trauma becomes doctrine and covenantal order.</t>
        </is>
      </c>
      <c r="J34" s="94" t="inlineStr">
        <is>
          <t>Survivors carry new obligations and memory of total reset.</t>
        </is>
      </c>
      <c r="K34" s="94" t="inlineStr">
        <is>
          <t>Atrahasis; Utnapishtim; Deucalion; Manu</t>
        </is>
      </c>
      <c r="L34" s="94" t="inlineStr">
        <is>
          <t>Tier 1</t>
        </is>
      </c>
      <c r="M34" s="94" t="inlineStr">
        <is>
          <t>Needs source pass</t>
        </is>
      </c>
      <c r="N34" s="94" t="inlineStr">
        <is>
          <t>Compare without flattening into one universal flood.</t>
        </is>
      </c>
      <c r="O34" s="94" t="inlineStr">
        <is>
          <t>MFM §11</t>
        </is>
      </c>
      <c r="P34" s="94" t="inlineStr">
        <is>
          <t>TBD: identify primary text/artifact</t>
        </is>
      </c>
      <c r="Q34" s="94" t="inlineStr">
        <is>
          <t>TBD: exact passage, tablet, chapter, hymn, codex plate, or oral-transcription source</t>
        </is>
      </c>
      <c r="R34" s="94" t="inlineStr">
        <is>
          <t>TBD: one reputable secondary source</t>
        </is>
      </c>
      <c r="S34" s="94" t="inlineStr">
        <is>
          <t>Use MR-01 + MR-03</t>
        </is>
      </c>
      <c r="T34" s="94" t="n"/>
      <c r="U34" s="94" t="inlineStr">
        <is>
          <t>Medium until source pass complete</t>
        </is>
      </c>
      <c r="V34" s="94" t="inlineStr">
        <is>
          <t>Run model review, then source-pass</t>
        </is>
      </c>
      <c r="W34" s="94" t="n"/>
      <c r="X34" s="94" t="n"/>
      <c r="Y34" s="86" t="inlineStr">
        <is>
          <t>Tier 1</t>
        </is>
      </c>
      <c r="Z34" s="86" t="inlineStr">
        <is>
          <t>Tier 2</t>
        </is>
      </c>
      <c r="AA34" s="106" t="inlineStr">
        <is>
          <t>Supportive</t>
        </is>
      </c>
      <c r="AB34" s="86" t="n"/>
      <c r="AC34" s="86" t="inlineStr">
        <is>
          <t>Not yet tested</t>
        </is>
      </c>
      <c r="AD34" s="86" t="n"/>
      <c r="AE34" s="105" t="inlineStr">
        <is>
          <t>Legacy — not yet tagged</t>
        </is>
      </c>
      <c r="AF34" s="105" t="n"/>
      <c r="AG34" s="105" t="n"/>
    </row>
    <row r="35" ht="41.25" customHeight="1" s="61">
      <c r="A35" s="94" t="inlineStr">
        <is>
          <t>FM-003</t>
        </is>
      </c>
      <c r="B35" s="94" t="inlineStr">
        <is>
          <t>FM-01</t>
        </is>
      </c>
      <c r="C35" s="94" t="inlineStr">
        <is>
          <t>Flood / Reset Memory</t>
        </is>
      </c>
      <c r="D35" s="94" t="n"/>
      <c r="E35" s="94" t="inlineStr">
        <is>
          <t>Hindu</t>
        </is>
      </c>
      <c r="F35" s="94" t="inlineStr">
        <is>
          <t>Manu flood</t>
        </is>
      </c>
      <c r="G35" s="94" t="inlineStr">
        <is>
          <t>Manu is warned/saved by fish; flood resets world.</t>
        </is>
      </c>
      <c r="H35" s="94" t="inlineStr">
        <is>
          <t>Ecological catastrophe memory plus chosen survivor/culture continuity.</t>
        </is>
      </c>
      <c r="I35" s="94" t="inlineStr">
        <is>
          <t>Survival knowledge becomes sacred transmission.</t>
        </is>
      </c>
      <c r="J35" s="94" t="inlineStr">
        <is>
          <t>Human line continues through warned survivor.</t>
        </is>
      </c>
      <c r="K35" s="94" t="inlineStr">
        <is>
          <t>Atrahasis; Noah; Deucalion</t>
        </is>
      </c>
      <c r="L35" s="94" t="inlineStr">
        <is>
          <t>Tier 1-2</t>
        </is>
      </c>
      <c r="M35" s="94" t="inlineStr">
        <is>
          <t>Needs source pass</t>
        </is>
      </c>
      <c r="N35" s="94" t="inlineStr">
        <is>
          <t>Good flood memory comparator.</t>
        </is>
      </c>
      <c r="O35" s="94" t="inlineStr">
        <is>
          <t>Comparative candidate</t>
        </is>
      </c>
      <c r="P35" s="94" t="inlineStr">
        <is>
          <t>TBD: identify primary text/artifact</t>
        </is>
      </c>
      <c r="Q35" s="94" t="inlineStr">
        <is>
          <t>TBD: exact passage, tablet, chapter, hymn, codex plate, or oral-transcription source</t>
        </is>
      </c>
      <c r="R35" s="94" t="inlineStr">
        <is>
          <t>TBD: one reputable secondary source</t>
        </is>
      </c>
      <c r="S35" s="94" t="inlineStr">
        <is>
          <t>Use MR-01 + MR-03</t>
        </is>
      </c>
      <c r="T35" s="94" t="n"/>
      <c r="U35" s="94" t="inlineStr">
        <is>
          <t>Medium until source pass complete</t>
        </is>
      </c>
      <c r="V35" s="94" t="inlineStr">
        <is>
          <t>Run model review, then source-pass</t>
        </is>
      </c>
      <c r="W35" s="94" t="n"/>
      <c r="X35" s="94" t="n"/>
      <c r="Y35" s="86" t="inlineStr">
        <is>
          <t>Tier 1</t>
        </is>
      </c>
      <c r="Z35" s="86" t="inlineStr">
        <is>
          <t>Tier 2</t>
        </is>
      </c>
      <c r="AA35" s="106" t="inlineStr">
        <is>
          <t>Supportive</t>
        </is>
      </c>
      <c r="AB35" s="86" t="n"/>
      <c r="AC35" s="86" t="inlineStr">
        <is>
          <t>Not yet tested</t>
        </is>
      </c>
      <c r="AD35" s="86" t="n"/>
      <c r="AE35" s="105" t="inlineStr">
        <is>
          <t>Legacy — not yet tagged</t>
        </is>
      </c>
      <c r="AF35" s="105" t="n"/>
      <c r="AG35" s="105" t="n"/>
    </row>
    <row r="36" ht="41.25" customHeight="1" s="61">
      <c r="A36" s="94" t="inlineStr">
        <is>
          <t>SG-001</t>
        </is>
      </c>
      <c r="B36" s="94" t="inlineStr">
        <is>
          <t>SG-01</t>
        </is>
      </c>
      <c r="C36" s="94" t="inlineStr">
        <is>
          <t>Sacred Geography / Land Claim</t>
        </is>
      </c>
      <c r="D36" s="94" t="n"/>
      <c r="E36" s="94" t="inlineStr">
        <is>
          <t>Greek / Cretan</t>
        </is>
      </c>
      <c r="F36" s="94" t="inlineStr">
        <is>
          <t>Zeus on Mount Ida</t>
        </is>
      </c>
      <c r="G36" s="94" t="inlineStr">
        <is>
          <t>Divine child hidden/preserved on specific mountain/island landscape.</t>
        </is>
      </c>
      <c r="H36" s="94" t="inlineStr">
        <is>
          <t>Succession claim is rooted in place; mountain authorizes future king.</t>
        </is>
      </c>
      <c r="I36" s="94" t="inlineStr">
        <is>
          <t>Territory becomes story; story becomes shrine/legitimacy.</t>
        </is>
      </c>
      <c r="J36" s="94" t="inlineStr">
        <is>
          <t>The place preserves origin claim and cultic authority.</t>
        </is>
      </c>
      <c r="K36" s="94" t="inlineStr">
        <is>
          <t>Cave births; holy mountains; sacred springs</t>
        </is>
      </c>
      <c r="L36" s="94" t="inlineStr">
        <is>
          <t>Tier 2</t>
        </is>
      </c>
      <c r="M36" s="86" t="inlineStr">
        <is>
          <t>Parked; passage thinner than the row's reading</t>
        </is>
      </c>
      <c r="N36" s="86" t="inlineStr">
        <is>
          <t>Use as property-law-with-incense example.
[v0.19.1 source-pass] 'Mount Ida' specifically is later Cretan reception; Theogony supports concealment/preservation, NOT 'place confers sovereignty.' Sacred-geography reading is thinner than the source - FLAGGED for tier review, tier NOT auto-changed (K9-K11). Keep parked. Support: weak.</t>
        </is>
      </c>
      <c r="O36" s="94" t="inlineStr">
        <is>
          <t>MFM §6A</t>
        </is>
      </c>
      <c r="P36" s="86" t="inlineStr">
        <is>
          <t>Hesiod, Theogony (Rhea hides the infant Zeus in a Cretan cave; the stone is given to Kronos).</t>
        </is>
      </c>
      <c r="Q36" s="86" t="inlineStr">
        <is>
          <t>Theog. ~477-484 - supports concealment/preservation, NOT 'place confers sovereignty.'</t>
        </is>
      </c>
      <c r="R36" s="86" t="inlineStr">
        <is>
          <t>NOT FOUND - secondary still owed.</t>
        </is>
      </c>
      <c r="S36" s="94" t="inlineStr">
        <is>
          <t>Use MR-01 + MR-03</t>
        </is>
      </c>
      <c r="T36" s="94" t="n"/>
      <c r="U36" s="94" t="inlineStr">
        <is>
          <t>Medium until source pass complete</t>
        </is>
      </c>
      <c r="V36" s="94" t="inlineStr">
        <is>
          <t>Run model review, then source-pass
[v0.19] PARK: SG-01 cluster underbuilt; harden with specific land-claim sources (resolve Cretan vs Troad Mount Ida) before citing.</t>
        </is>
      </c>
      <c r="W36" s="86" t="inlineStr">
        <is>
          <t>Primary to confirm (Hesiod, Theogony ~477-484). Secondary owed.</t>
        </is>
      </c>
      <c r="X36" s="94" t="n"/>
      <c r="Y36" s="86" t="inlineStr">
        <is>
          <t>Tier 2</t>
        </is>
      </c>
      <c r="Z36" s="86" t="inlineStr">
        <is>
          <t>Tier 3</t>
        </is>
      </c>
      <c r="AA36" s="107" t="inlineStr">
        <is>
          <t>Source-pass</t>
        </is>
      </c>
      <c r="AB36" s="86" t="n"/>
      <c r="AC36" s="86" t="inlineStr">
        <is>
          <t>Not yet tested</t>
        </is>
      </c>
      <c r="AD36" s="86" t="n"/>
      <c r="AE36" s="105" t="inlineStr">
        <is>
          <t>Legacy — not yet tagged</t>
        </is>
      </c>
      <c r="AF36" s="105" t="n"/>
      <c r="AG36" s="105" t="n"/>
    </row>
    <row r="37" ht="283.5" customHeight="1" s="61">
      <c r="A37" s="94" t="inlineStr">
        <is>
          <t>DT-001</t>
        </is>
      </c>
      <c r="B37" s="94" t="inlineStr">
        <is>
          <t>DT-01</t>
        </is>
      </c>
      <c r="C37" s="94" t="inlineStr">
        <is>
          <t>Death-Admin / Refusal of Closure</t>
        </is>
      </c>
      <c r="D37" s="94" t="inlineStr">
        <is>
          <t>trickster-defeat</t>
        </is>
      </c>
      <c r="E37" s="94" t="inlineStr">
        <is>
          <t>Maya / K'iche' (Popol Vuh)</t>
        </is>
      </c>
      <c r="F37" s="94" t="inlineStr">
        <is>
          <t>The Hero Twins, Hunahpu &amp; Xbalanque — sons of the slain Maize God who descend into Xibalba, let themselves be killed, return, and defeat the Lords of Death by outwitting them, then rise as Sun and Moon.</t>
        </is>
      </c>
      <c r="G37" s="94" t="inlineStr">
        <is>
          <t>In the Popol Vuh, the K'iche' Maya epic, the Lords of Xibalba (the underworld) lure the Twins' father and uncle to a deadly ballgame and kill them; from the slain father's severed head, hung in a calabash tree, the maiden Xquic conceives the Twins. Grown, the Twins are summoned to Xibalba and survive a gauntlet of lethal trials (Houses of Knives, Cold, Jaguars, Fire, Bats) by seeing through the Lords' tricks. Knowing the Lords will never stop, they leap into an oven and are burned alive — a voluntary death from which they return, first as fish, then as wandering magician-tricksters who perform a 'kill-and-resurrect' act. Hearing of it, the Lords demand a performance; the Twins trick One Death and Seven Death into asking to be sacrificed too — and do not revive them. Death defeated, the Twins ascend as Sun and Moon. The narrative is attested in the ~1554 K'iche' text AND in hundreds of Classic Maya painted vases (c. 600-900 CE), so its core long predates the colonial-era writing-down.</t>
        </is>
      </c>
      <c r="H37" s="94" t="inlineStr">
        <is>
          <t>The death-administration here is a literal bureaucracy of lords who summon, test, and kill — a court that decides who lives, fed by sacrifice. The Twins don't beat it by force (they can't — the Lords just invent new trials) but by CUNNING: they master the rules, then rewrite the game, turning the Lords' own appetite for the spectacle of death against them. It's the trickster's answer to power that can't be out-muscled: out-think it, bait it into its own trap.</t>
        </is>
      </c>
      <c r="I37" s="94" t="inlineStr">
        <is>
          <t>This is the cluster's clearest case of the death-admin DEFEATED and DEMOTED rather than captured. The Twins don't just escape — they strip the Lords of Xibalba of their standing: in the full epic the death-lords are demoted, forbidden the great offerings and left only lesser ones. The 'refusal of closure' here reorganizes the sacrificial economy itself — who the dead-powers may demand tribute from. (Note the embedded capture: the Popol Vuh was also the K'iche' ruling lineages' charter, legitimizing their nobles — the epic that demotes Xibalba also props up an earthly elite.)</t>
        </is>
      </c>
      <c r="J37" s="94" t="inlineStr">
        <is>
          <t>The pattern that even the death-court can be beaten — by wit, by willingness to die strategically, by changing the rules — and that the powers who deal death can be brought low. It survives in the daily rebirth of the sun (Hunahpu) and the maize cycle: death as something repeatedly overcome, not merely endured. A genuinely anti-authoritarian remainder: the underworld bureaucracy is not eternal or all-powerful.</t>
        </is>
      </c>
      <c r="K37" s="94" t="inlineStr">
        <is>
          <t>Within the cluster: Osiris (DT-003), Christian resurrection (DT-006). Trickster cousins outside it: the rebel/trickster figures of RF-01 (Raven, Maui) who also outwit power. NOT a seasonal-fertility 'dying-rising god' in the Frazerian sense (see the cluster caveat).</t>
        </is>
      </c>
      <c r="L37" s="94" t="inlineStr">
        <is>
          <t>Tier 1-2</t>
        </is>
      </c>
      <c r="M37" s="94" t="inlineStr">
        <is>
          <t>Sourced (this pass)</t>
        </is>
      </c>
      <c r="N37" s="94" t="inlineStr">
        <is>
          <t>The surviving Popol Vuh is a colonial-era alphabetic K'iche' text (recorded ~1554; oldest copy is Ximenez's ~1701 K'iche'/Spanish manuscript), so guard against reading Christian resurrection-theology INTO it — the Classic-period vase imagery (c. 600-900 CE) anchors the pre-contact core and shows the narrative predates any missionary contact. The Twins genuinely die and return (unlike Osiris, who rules the dead), but they apotheose into celestial bodies rather than resuming ordinary life — the 'resurrection' label fits more loosely than the word suggests. A living people's sacred book — analytic lens, not a verdict.</t>
        </is>
      </c>
      <c r="O37" s="94" t="inlineStr">
        <is>
          <t>PF Case 3 (refusal of closure) — the DEFEATED-DEATH pole: the death-admin is outwitted and demoted, not (as with Osiris) institutionalized. PF SS1-2. Sub-type = trickster-defeat.</t>
        </is>
      </c>
      <c r="P37" s="94" t="inlineStr">
        <is>
          <t>Popol Vuh (K'iche' Maya) — the Xibalba descent sequence; the Dennis Tedlock and Allen J. Christenson translations; the Classic Maya 'Resurrection Plate' and related painted ceramics (c. 600-900 CE).</t>
        </is>
      </c>
      <c r="Q37" s="94" t="inlineStr">
        <is>
          <t>Popol Vuh — the ballgame summons; the trials in the Houses of Xibalba; the oven self-sacrifice and return as fish/magicians; the trick that kills One Death &amp; Seven Death; the apotheosis as Sun and Moon.</t>
        </is>
      </c>
      <c r="R37" s="94" t="inlineStr">
        <is>
          <t>Dennis Tedlock, 'Popol Vuh' (1985/1996); Allen J. Christenson, 'Popol Vuh' (2003); Michael D. Coe, 'The Maya' &amp; on Classic Maya underworld iconography; Karl Taube on Maya myth.</t>
        </is>
      </c>
      <c r="S37" s="94" t="inlineStr">
        <is>
          <t>Is the trickster-defeat reading (death outwitted + Xibalba demoted) grounded in the Popol Vuh, and is the colonial-transmission caveat (don't import Christian resurrection) load-bearing? Confirm the Classic-ceramic attestation for the pre-contact core.</t>
        </is>
      </c>
      <c r="T37" s="94" t="n"/>
      <c r="U37" s="94" t="inlineStr">
        <is>
          <t>MODERATE — the narrative and the 'death defeated by cunning' reading are well-supported by text + iconography; the risks are (a) importing Christian resurrection-categories via the colonial text, and (b) over-claiming the precise content of the Xibalba 'demotion' beyond what the translations support. The trickster-defeat structure is solid.</t>
        </is>
      </c>
      <c r="V37" s="94" t="inlineStr">
        <is>
          <t>Pull the Tedlock/Christenson Xibalba passages + a Classic 'Resurrection Plate' reference; keep the colonial-transmission caveat and the demotion-of-Xibalba detail anchored.</t>
        </is>
      </c>
      <c r="W37" s="94" t="inlineStr">
        <is>
          <t>ebsco.com (Maya Hero Twins); mayan.org &amp; study.com (Popol Vuh / Xibalba defeat-by-trickery; Classic ceramics c.600-900 CE)</t>
        </is>
      </c>
      <c r="X37" s="94" t="inlineStr">
        <is>
          <t>2026-06-14</t>
        </is>
      </c>
      <c r="Y37" s="86" t="inlineStr">
        <is>
          <t>Tier 1</t>
        </is>
      </c>
      <c r="Z37" s="86" t="inlineStr">
        <is>
          <t>Tier 1-2</t>
        </is>
      </c>
      <c r="AA37" s="104" t="inlineStr">
        <is>
          <t>Load-bearing</t>
        </is>
      </c>
      <c r="AB37" s="86" t="n"/>
      <c r="AC37" s="86" t="inlineStr">
        <is>
          <t>Not yet tested</t>
        </is>
      </c>
      <c r="AD37" s="86" t="n"/>
      <c r="AE37" s="105" t="inlineStr">
        <is>
          <t>Legacy — not yet tagged</t>
        </is>
      </c>
      <c r="AF37" s="105" t="n"/>
      <c r="AG37" s="105" t="n"/>
    </row>
    <row r="38" ht="283.5" customHeight="1" s="61">
      <c r="A38" s="94" t="inlineStr">
        <is>
          <t>DT-002</t>
        </is>
      </c>
      <c r="B38" s="94" t="inlineStr">
        <is>
          <t>DT-01</t>
        </is>
      </c>
      <c r="C38" s="94" t="inlineStr">
        <is>
          <t>Death-Admin / Refusal of Closure</t>
        </is>
      </c>
      <c r="D38" s="94" t="inlineStr">
        <is>
          <t>initiation-gated</t>
        </is>
      </c>
      <c r="E38" s="94" t="inlineStr">
        <is>
          <t>Greek (Homeric Hymn to Demeter; Eleusis)</t>
        </is>
      </c>
      <c r="F38" s="94" t="inlineStr">
        <is>
          <t>Persephone (Kore) &amp; Demeter — the abducted daughter whose pomegranate-bound, cyclical return from the underworld both explains the seasons and founds the Eleusinian Mysteries, which offered initiates a better afterlife.</t>
        </is>
      </c>
      <c r="G38" s="94" t="inlineStr">
        <is>
          <t>In the Homeric Hymn to Demeter, Hades seizes Persephone (with Zeus's tacit consent) while she gathers flowers; her mother Demeter, goddess of grain, searches in grief, neglects the harvest, and brings famine. At Eleusis, disguised, Demeter nurses the prince Demophon (secretly trying to immortalize him in fire until interrupted) and commands a temple and rites be built — the charter of the Mysteries. Zeus relents and sends Hermes to retrieve Persephone, but Hades has tricked her into eating pomegranate seeds ('the food of the dead'), binding her to the underworld for part of each year. The brokered compromise — a third below, two-thirds above — turns Demeter's grief and joy into winter and spring. The rites at Eleusis then promised initiates a release from the fear of death and a blessed lot beyond the grave.</t>
        </is>
      </c>
      <c r="H38" s="94" t="inlineStr">
        <is>
          <t>Two power-moves stacked. First, the surface: a marriage-by-abduction sanctioned by the patriarch (Zeus) without the mother's or daughter's consent — the transfer of a young female between male houses, dressed as cosmic order (read alongside DF-01 / UF-01). Second, the death-admin: the underworld's claim on Persephone is irreversible once she's eaten its food, yet not total — she returns, cyclically. The community converts that partial-return into an institution that sells the same deal to mortals: death has a claim on you, but the right rites soften it.</t>
        </is>
      </c>
      <c r="I38" s="94" t="inlineStr">
        <is>
          <t>The purest 'administered access to a good death' in the cluster. The myth becomes the founding charter of a mystery-cult that gates a better afterlife behind INITIATION — and the gate is held by hereditary priestly families (the Eumolpidae and Kerykes; the Hierophant who appears 'in a blaze of light'), for nearly two millennia, until the cult is suppressed under a rising Christianity. Release from the fear of death is the product; initiation is the price; a hereditary caste is the mandatory intermediary. (The cult was also appropriated by the Athenian polis — capture layered on capture.)</t>
        </is>
      </c>
      <c r="J38" s="94" t="inlineStr">
        <is>
          <t>The genuine consolation the rites offered — that death is survivable, its terror removable — and the seasonal promise that loss is not final (spring returns). What the lens flags is how that consolation was enclosed: a universal fear answered by an initiation administered by a closed priestly lineage. The living signal (death's claim is not total) survives, but gated.</t>
        </is>
      </c>
      <c r="K38" s="94" t="inlineStr">
        <is>
          <t>Within the cluster: Osiris (DT-003, administered afterlife), Christian resurrection (DT-006, gated access to the victory). Outside: other mystery-cults (Dionysus / Orphic, Isis) offering a better afterlife; cf. CC-01 (access gated by an authorized intermediary).</t>
        </is>
      </c>
      <c r="L38" s="94" t="inlineStr">
        <is>
          <t>Tier 1-2</t>
        </is>
      </c>
      <c r="M38" s="94" t="inlineStr">
        <is>
          <t>Sourced (this pass)</t>
        </is>
      </c>
      <c r="N38" s="94" t="inlineStr">
        <is>
          <t>The Hymn survives in a SINGLE damaged medieval manuscript (textual gaps), and the Mysteries' actual content was secret ('ineffable') — so claims about what initiates experienced are partly inference from veiled later accounts (Apuleius, etc.); don't overstate the specifics. The myth is heavily etiological ('the temple of today is the palace of yesterday'), projecting current cult-realities back onto the age of heroes. Persephone also belongs partly to the feminine-capture clusters (marriage-by-abduction) — cross-listed, not relocated. Ancient cult, not a living faith, but handled with the usual care.</t>
        </is>
      </c>
      <c r="O38" s="94" t="inlineStr">
        <is>
          <t>PF Case 3 (refusal of closure) — the INITIATION-GATED pole: death's non-finality packaged as an afterlife-blessing gated by priest-controlled initiation. PF SS1-2. Sub-type = initiation-gated.</t>
        </is>
      </c>
      <c r="P38" s="94" t="inlineStr">
        <is>
          <t>Homeric Hymn to Demeter (Hymn 2; ~495 lines), esp. the initiation-blessing (lines 480-482); the abduction (opening), the pomegranate-binding, and the seasonal compromise.</t>
        </is>
      </c>
      <c r="Q38" s="94" t="inlineStr">
        <is>
          <t>Hymn 480-482 (the initiation-blessing — blessed is the initiate, the uninitiated has no such lot once dead); the pomegranate that binds Persephone; the one-third (underworld) / two-thirds division.</t>
        </is>
      </c>
      <c r="R38" s="94" t="inlineStr">
        <is>
          <t>Helene P. Foley, 'The Homeric Hymn to Demeter' (1994); Walter Burkert, 'Greek Religion' &amp; 'Ancient Mystery Cults'; N.J. Richardson, commentary on the Hymn; Kevin Clinton on Eleusinian priesthood.</t>
        </is>
      </c>
      <c r="S38" s="94" t="inlineStr">
        <is>
          <t>Is the initiation-gated reading (afterlife-blessing gated by priest-controlled initiation) grounded in the Hymn + Eleusinian evidence, and are the single-manuscript / secret-content caveats load-bearing? Keep the seasonal etiology distinct from the cult's afterlife-claim.</t>
        </is>
      </c>
      <c r="T38" s="94" t="n"/>
      <c r="U38" s="94" t="inlineStr">
        <is>
          <t>MODERATE — the Hymn, the seasonal etiology, the afterlife-promise, and the hereditary priesthood are all well-attested; the risk is over-claiming the SECRET content of the Mysteries (unrecoverable) or flattening the rich myth to only the capture-reading (it is also a seasonal etiology and a mother-daughter story). The initiation-gated structure is solid; the interior of the rite is not.</t>
        </is>
      </c>
      <c r="V38" s="94" t="inlineStr">
        <is>
          <t>Pull Hymn 480-482 + the pomegranate and compromise lines (Foley); cite Burkert on the hereditary priesthood; keep the secret-content and single-manuscript caveats anchored.</t>
        </is>
      </c>
      <c r="W38" s="94" t="inlineStr">
        <is>
          <t>britannica.com (Eleusinian Mysteries); chs.harvard.edu &amp; classicalia.co.uk (Hymn: pomegranate, seasonal compromise, initiation-blessing, hereditary priesthood)</t>
        </is>
      </c>
      <c r="X38" s="94" t="inlineStr">
        <is>
          <t>2026-06-14</t>
        </is>
      </c>
      <c r="Y38" s="86" t="inlineStr">
        <is>
          <t>Tier 1</t>
        </is>
      </c>
      <c r="Z38" s="86" t="inlineStr">
        <is>
          <t>Tier 2</t>
        </is>
      </c>
      <c r="AA38" s="106" t="inlineStr">
        <is>
          <t>Supportive</t>
        </is>
      </c>
      <c r="AB38" s="86" t="n"/>
      <c r="AC38" s="86" t="inlineStr">
        <is>
          <t>Not yet tested</t>
        </is>
      </c>
      <c r="AD38" s="86" t="n"/>
      <c r="AE38" s="105" t="inlineStr">
        <is>
          <t>Ancient textual core</t>
        </is>
      </c>
      <c r="AF38" s="105" t="inlineStr">
        <is>
          <t>Hymn to Demeter supports abduction, famine, negotiation, partial return, and rites; a universal exit clause is invention.</t>
        </is>
      </c>
      <c r="AG38" s="105" t="inlineStr">
        <is>
          <t>TH-01; CO-01</t>
        </is>
      </c>
    </row>
    <row r="39" ht="283.5" customHeight="1" s="61">
      <c r="A39" s="94" t="inlineStr">
        <is>
          <t>DT-003</t>
        </is>
      </c>
      <c r="B39" s="94" t="inlineStr">
        <is>
          <t>DT-01</t>
        </is>
      </c>
      <c r="C39" s="94" t="inlineStr">
        <is>
          <t>Death-Admin / Refusal of Closure</t>
        </is>
      </c>
      <c r="D39" s="94" t="inlineStr">
        <is>
          <t>administered-return</t>
        </is>
      </c>
      <c r="E39" s="94" t="inlineStr">
        <is>
          <t>Ancient Egyptian; Pyramid/Coffin Texts -&gt; Plutarch</t>
        </is>
      </c>
      <c r="F39" s="94" t="inlineStr">
        <is>
          <t>Osiris — murdered and dismembered king reassembled by Isis, who cannot return to the living and instead becomes Lord of the Duat and Judge of the Dead.</t>
        </is>
      </c>
      <c r="G39" s="94" t="inlineStr">
        <is>
          <t>Set, jealous of his brother the good king Osiris, traps him in a chest, drowns him, then dismembers the body (14 or 42 pieces) and scatters it. Isis, with Nephthys, Anubis, and Thoth, gathers the parts, embalms him (the first mummy), and revives him just long enough to conceive Horus. The resurrection is incomplete — Osiris cannot rejoin the living. He descends to the Duat and becomes its king: the judge before whom every soul is weighed in the Hall of Two Truths.</t>
        </is>
      </c>
      <c r="H39" s="94" t="inlineStr">
        <is>
          <t>A succession-murder (brother kills brother for the throne) is processed into a cosmology of death itself. The victim doesn't get his old life back — he is promoted sideways into running the realm of the dead. The community's terror of mortality is resolved by installing a relatable former king as its permanent administrator: death becomes a court with a known judge, not a void.</t>
        </is>
      </c>
      <c r="I39" s="94" t="inlineStr">
        <is>
          <t>The purest demonstration of capture in the cluster — the refusal of death's closure (Osiris overcomes Set's murder) is INSTITUTIONALIZED into the very apparatus that administers death. His story becomes the Book of the Dead; mummification re-enacts his reassembly; 'becoming an Osiris' is the entry rite for every corpse. The escape from death is canonized AS the death-bureaucracy, requiring a whole priesthood to operate it.</t>
        </is>
      </c>
      <c r="J39" s="94" t="inlineStr">
        <is>
          <t>What survives is the promise that death is survivable and judged, not arbitrary — embedded in every Egyptian funeral for three millennia. But it survives only in administered form: eternal life is real yet conditional, granted by a verdict, mediated by rites only the mortuary priesthood can perform. The remainder (death can be beaten) is delivered exclusively through the institution that monetizes the beating.</t>
        </is>
      </c>
      <c r="K39" s="94" t="inlineStr">
        <is>
          <t>Dumuzi (DT-004); Baal (DT-005); Persephone (DT-002); Inanna's descent (UF-001); Hero Twins (DT-001)</t>
        </is>
      </c>
      <c r="L39" s="94" t="inlineStr">
        <is>
          <t>Tier 1-2</t>
        </is>
      </c>
      <c r="M39" s="94" t="inlineStr">
        <is>
          <t>Sourced (this pass)</t>
        </is>
      </c>
      <c r="N39" s="94" t="inlineStr">
        <is>
          <t>Osiris does NOT 'rise' to earthly life — he rules the dead; the 'resurrection' label is loose (see the cluster-level caveat on the contested 'dying-and-rising god' category, J.Z. Smith vs Frazer). No single ancient text tells the whole myth; the connected version is Plutarch's, late (c.100 CE) and Hellenized — don't read Plutarch back onto the Old Kingdom uncritically.
[v0.19] Cross-listed with SC-003 (Osiris).</t>
        </is>
      </c>
      <c r="O39" s="94" t="inlineStr">
        <is>
          <t>PF Case 3 (resurrection as refusal of closure) — the CAPTURED pole (refusal becomes the administration). PF §1-2 (capture, canonize). Sub-type = administered-return.</t>
        </is>
      </c>
      <c r="P39" s="94" t="inlineStr">
        <is>
          <t>Pyramid Texts (Old Kingdom) &amp; Coffin Texts (Middle Kingdom); Great Hymn to Osiris (18th Dyn.); Contendings of Horus and Set (20th Dyn.); Plutarch, De Iside et Osiride (c.100 CE).</t>
        </is>
      </c>
      <c r="Q39" s="94" t="inlineStr">
        <is>
          <t>Pyramid Texts Osiris/judgment spells; Book of the Dead spell 125 (the Weighing of the Heart / negative confession); Plutarch sections 12-19 (the murder, dismemberment, Isis).</t>
        </is>
      </c>
      <c r="R39" s="94" t="inlineStr">
        <is>
          <t>J. Gwyn Griffiths, 'The Origins of Osiris and His Cult'; Griffiths (ed.), 'Plutarch's De Iside et Osiride'; Jan Assmann, 'Death and Salvation in Ancient Egypt.'</t>
        </is>
      </c>
      <c r="S39" s="94" t="inlineStr">
        <is>
          <t>Is 'refusal becomes administration' over-clever or textual? Verify the 'becoming Osiris' funerary practice and the judge-of-the-dead role; keep the partial/non-earthly nature of his return explicit; distinguish Plutarch from the Egyptian sources.</t>
        </is>
      </c>
      <c r="T39" s="94" t="n"/>
      <c r="U39" s="94" t="inlineStr">
        <is>
          <t>MODERATE — the death-administration reading is strongly supported by the actual mortuary cult; main risk is the 'resurrection' framing (he doesn't return to life) and retrojecting Plutarch's tidy narrative onto two millennia of varied sources.</t>
        </is>
      </c>
      <c r="V39" s="94" t="inlineStr">
        <is>
          <t>Pull Book of the Dead spell 125 + a Pyramid Text Osiris spell; cite Assmann on the funerary economy; foreground the Smith/Frazer caveat.</t>
        </is>
      </c>
      <c r="W39" s="94" t="inlineStr">
        <is>
          <t>en.wikipedia.org/wiki/Osiris_myth; ancient-philosophia.org/myths/osiris-myth (Pyramid/Coffin Texts; Plutarch De Iside)</t>
        </is>
      </c>
      <c r="X39" s="94" t="inlineStr">
        <is>
          <t>2026-06-14</t>
        </is>
      </c>
      <c r="Y39" s="86" t="inlineStr">
        <is>
          <t>Tier 1</t>
        </is>
      </c>
      <c r="Z39" s="86" t="inlineStr">
        <is>
          <t>Tier 1-2</t>
        </is>
      </c>
      <c r="AA39" s="106" t="inlineStr">
        <is>
          <t>Supportive</t>
        </is>
      </c>
      <c r="AB39" s="86" t="n"/>
      <c r="AC39" s="86" t="inlineStr">
        <is>
          <t>Not yet tested</t>
        </is>
      </c>
      <c r="AD39" s="86" t="n"/>
      <c r="AE39" s="105" t="inlineStr">
        <is>
          <t>Legacy — not yet tagged</t>
        </is>
      </c>
      <c r="AF39" s="105" t="n"/>
      <c r="AG39" s="105" t="n"/>
    </row>
    <row r="40" ht="283.5" customHeight="1" s="61">
      <c r="A40" s="94" t="inlineStr">
        <is>
          <t>DT-004</t>
        </is>
      </c>
      <c r="B40" s="94" t="inlineStr">
        <is>
          <t>DT-01</t>
        </is>
      </c>
      <c r="C40" s="94" t="inlineStr">
        <is>
          <t>Death-Admin / Refusal of Closure</t>
        </is>
      </c>
      <c r="D40" s="94" t="inlineStr">
        <is>
          <t>death-debt</t>
        </is>
      </c>
      <c r="E40" s="94" t="inlineStr">
        <is>
          <t>Sumerian/Akkadian; Descent of Inanna / Ishtar</t>
        </is>
      </c>
      <c r="F40" s="94" t="inlineStr">
        <is>
          <t>Dumuzi / Tammuz — the shepherd-king sent to the underworld as Inanna's substitute, released only half the year while his sister Geshtinanna serves the other half.</t>
        </is>
      </c>
      <c r="G40" s="94" t="inlineStr">
        <is>
          <t>Inanna descends to the underworld, is stripped at seven gates, killed, and hung on a hook; Enki's creatures revive her — but the underworld's law forbids leaving without a substitute. The galla demons escort her up to claim one. She spares those found mourning her in sackcloth; finding Dumuzi instead enthroned in fine robes and NOT grieving, she fixes the eye of death on him. He flees, is caught, and is dragged below. His sister Geshtinanna offers herself; the verdict splits the year — Dumuzi half below, Geshtinanna half — and the seasons follow.</t>
        </is>
      </c>
      <c r="H40" s="94" t="inlineStr">
        <is>
          <t>Here death is run as a LEDGER. The underworld is a creditor that books every exit against a replacement — no release without a body to balance it. Survival is a transfer of debt: Inanna lives because Dumuzi is handed over; Dumuzi gets half a life because Geshtinanna covers the rest. Mortality is reframed not as void but as an account that must be settled, with substitutions permitted — the original 'pay the death-tax' system.</t>
        </is>
      </c>
      <c r="I40" s="94" t="inlineStr">
        <is>
          <t>The closure is never refused outright — it is NEGOTIATED and administered. The galla are bailiffs; the half-year compromise is a settlement; the whole apparatus presumes an authority that adjudicates who owes what to death. Grief itself is audited (mourners are exempt; the un-grieving Dumuzi is liable), turning even mourning into a compliance test.</t>
        </is>
      </c>
      <c r="J40" s="94" t="inlineStr">
        <is>
          <t>Life returns, but only as a managed alternation — the green half of the year is real, yet permanently mortgaged to the barren half. The refusal of closure survives as seasonal partial-return, not victory: nobody beats the ledger, they only reschedule it. The remainder is the rhythm itself — death holds the lien, life is the interest paid back each spring.</t>
        </is>
      </c>
      <c r="K40" s="94" t="inlineStr">
        <is>
          <t>Persephone (DT-002, the pomegranate-seed debt — near-identical structure); Osiris (DT-003); Baal (DT-005); Inanna (UF-001, the descending goddess herself)</t>
        </is>
      </c>
      <c r="L40" s="94" t="inlineStr">
        <is>
          <t>Tier 1-2</t>
        </is>
      </c>
      <c r="M40" s="94" t="inlineStr">
        <is>
          <t>Sourced (this pass)</t>
        </is>
      </c>
      <c r="N40" s="94" t="inlineStr">
        <is>
          <t>Two text versions (Sumerian Inanna's Descent / Akkadian Ishtar's Descent) differ; the substitute-and-half-year resolution is the Sumerian tradition (incl. Dumuzi's Dream, Return of Dumuzi). 'Resurrection' is again loose — this is seasonal alternation by substitution, not a rising (cluster-level Smith/Frazer caveat applies). Dumuzi also appears as an antediluvian king (Sumerian King List) — keep the god/king strands distinct.</t>
        </is>
      </c>
      <c r="O40" s="94" t="inlineStr">
        <is>
          <t>PF Case 3 (refusal of closure) — the DEBT pole (return purchased by substitution). PF §4 (black ledger / debt). Sub-type = death-debt.</t>
        </is>
      </c>
      <c r="P40" s="94" t="inlineStr">
        <is>
          <t>Inanna's Descent to the Netherworld (Sumerian, ETCSL 1.4.1); Ishtar's Descent (Akkadian); Dumuzid's Dream (ETCSL 1.4.3); The Return of Dumuzid.</t>
        </is>
      </c>
      <c r="Q40" s="94" t="inlineStr">
        <is>
          <t>Inanna's Descent lines on the seven gates + 'no one ascends from the underworld unmarked' + the substitute scene; the Geshtinanna half-year resolution.</t>
        </is>
      </c>
      <c r="R40" s="94" t="inlineStr">
        <is>
          <t>Wolkstein &amp; Kramer, 'Inanna: Queen of Heaven and Earth'; Dina Katz, 'The Image of the Netherworld in the Sumerian Sources'; Jacobsen, 'The Treasures of Darkness.'</t>
        </is>
      </c>
      <c r="S40" s="94" t="inlineStr">
        <is>
          <t>Confirm the 'no exit without a substitute' rule and the mourning-audit are explicit in the Sumerian text (ETCSL). Distinguish Sumerian vs Akkadian endings. Keep 'debt/ledger' as interpretation of an explicit textual rule, not imposed.</t>
        </is>
      </c>
      <c r="T40" s="94" t="n"/>
      <c r="U40" s="94" t="inlineStr">
        <is>
          <t>LOW-MODERATE — the substitution-rule is directly in the text, so the 'ledger' read is well-anchored; risk is over-pressing the economic metaphor or treating the half-year as a universal 'resurrection.'</t>
        </is>
      </c>
      <c r="V40" s="94" t="inlineStr">
        <is>
          <t>Pull ETCSL 1.4.1 line refs for the substitute rule; cite Katz on netherworld law; foreground the Smith/Frazer caveat.</t>
        </is>
      </c>
      <c r="W40" s="94" t="inlineStr">
        <is>
          <t>en.wikipedia.org/wiki/Descent_of_Inanna_into_the_Underworld; worldhistory.org/article/215 (ETCSL 1.4.1; Wolkstein &amp; Kramer)</t>
        </is>
      </c>
      <c r="X40" s="94" t="inlineStr">
        <is>
          <t>2026-06-14</t>
        </is>
      </c>
      <c r="Y40" s="86" t="inlineStr">
        <is>
          <t>Tier 1</t>
        </is>
      </c>
      <c r="Z40" s="86" t="inlineStr">
        <is>
          <t>Tier 1-2</t>
        </is>
      </c>
      <c r="AA40" s="104" t="inlineStr">
        <is>
          <t>Load-bearing</t>
        </is>
      </c>
      <c r="AB40" s="86" t="n"/>
      <c r="AC40" s="86" t="inlineStr">
        <is>
          <t>Not yet tested</t>
        </is>
      </c>
      <c r="AD40" s="86" t="n"/>
      <c r="AE40" s="105" t="inlineStr">
        <is>
          <t>Legacy — not yet tagged</t>
        </is>
      </c>
      <c r="AF40" s="105" t="n"/>
      <c r="AG40" s="105" t="n"/>
    </row>
    <row r="41" ht="283.5" customHeight="1" s="61">
      <c r="A41" s="94" t="inlineStr">
        <is>
          <t>DT-005</t>
        </is>
      </c>
      <c r="B41" s="94" t="inlineStr">
        <is>
          <t>DT-01</t>
        </is>
      </c>
      <c r="C41" s="94" t="inlineStr">
        <is>
          <t>Death-Admin / Refusal of Closure</t>
        </is>
      </c>
      <c r="D41" s="94" t="inlineStr">
        <is>
          <t>death-combat</t>
        </is>
      </c>
      <c r="E41" s="94" t="inlineStr">
        <is>
          <t>Ugaritic / Canaanite; Baal Cycle (Ras Shamra)</t>
        </is>
      </c>
      <c r="F41" s="94" t="inlineStr">
        <is>
          <t>Baal Hadad — storm-king who cannot refuse Death's summons, is swallowed by Mot, and is restored only after his sister Anat butchers Death himself — a victory that resets every year.</t>
        </is>
      </c>
      <c r="G41" s="94" t="inlineStr">
        <is>
          <t>After winning kingship and building his palace on Mount Zaphon, Baal is challenged by Mot (Death), who demands he descend and submit. Even the storm-god cannot refuse: Baal goes down, is swallowed, dies, and the earth withers into drought. Anat searches, recovers his body, then confronts Mot directly — splitting him with a sword, burning, grinding, and winnowing him like grain across a field. An omen of oil and honey signals Baal's revival; the sun-goddess Shapash enforces the verdict; Baal returns to life and kingship — and the cycle will repeat.</t>
        </is>
      </c>
      <c r="H41" s="94" t="inlineStr">
        <is>
          <t>Death here is not a court or a ledger but an OPPONENT — a rival king (Mot) with his own dominion, who must be met by force. The community's answer to mortality is martial: power confronts Death as a peer, and survival is won by an ally willing to dismember Death itself. Yet the framing concedes that even the highest power must answer Death's summons first — you can beat Death, but only after Death has its turn, and only until next season.</t>
        </is>
      </c>
      <c r="I41" s="94" t="inlineStr">
        <is>
          <t>The refusal is real but ritualized into ETERNAL RE-ENACTMENT — Baal's death-and-return is the seasonal liturgy (drought = absence, rain = return), an annual drama the cult stages and depends on. Death is defeated on schedule, which is to say never finally; the cosmic order is maintained precisely by the repeating crisis, and the apparatus exists to manage the recurrence.</t>
        </is>
      </c>
      <c r="J41" s="94" t="inlineStr">
        <is>
          <t>What survives is rain, fertility, kingship — restored each year by a victory over Death. But the victory is structurally temporary: Mot is destroyed and yet returns; Baal reigns and yet must die again. The refusal of closure survives as a permanent rhythm of loss-and-recovery, cosmologically necessary rather than triumphant — order guaranteed by the very cycle that keeps killing the god.</t>
        </is>
      </c>
      <c r="K41" s="94" t="inlineStr">
        <is>
          <t>Dumuzi (DT-004) &amp; Osiris (DT-003) — the sources themselves group these as structurally akin while noting they are not identical; Anat (cf. the avenging/uncontained feminine, UF-01); Persephone (DT-002)</t>
        </is>
      </c>
      <c r="L41" s="94" t="inlineStr">
        <is>
          <t>Tier 1-2</t>
        </is>
      </c>
      <c r="M41" s="94" t="inlineStr">
        <is>
          <t>Sourced (this pass)</t>
        </is>
      </c>
      <c r="N41" s="94" t="inlineStr">
        <is>
          <t>The cross-figure 'dying-and-rising god' grouping is contested (J.Z. Smith vs Frazer) — flag at cluster level; the sources here explicitly note Baal/Tammuz/Osiris 'share a structural logic' but 'are not identical myths.' Tablets are fragmentary (KTU 1.1-1.6, lacunae); 'Baal' is a title (lord) as well as a name — note the Hadad identification.
[v0.19] Related to OO-005 (Baal): keep the seasonal/never-final win; do not flatten into generic 'resurrection'.</t>
        </is>
      </c>
      <c r="O41" s="94" t="inlineStr">
        <is>
          <t>PF Case 3 (refusal of closure) — the COMBAT pole (Death personified and defeated by force, cyclically). PF §1, §6 (capture; the managed recurrence). Sub-type = death-combat.</t>
        </is>
      </c>
      <c r="P41" s="94" t="inlineStr">
        <is>
          <t>The Baal Cycle, KTU 1.1-1.6 (Ugaritic), esp. KTU 1.5-1.6 (Mot swallows Baal; Anat destroys Mot; Baal's return); 14th-13th c. BCE, Ras Shamra.</t>
        </is>
      </c>
      <c r="Q41" s="94" t="inlineStr">
        <is>
          <t>KTU 1.5 VI (Mot seizes and swallows Baal) -&gt; KTU 1.6 II (Anat splits/burns/grinds Mot) -&gt; KTU 1.6 III (oil-and-honey dream; Baal revives) -&gt; 1.6 VI (Shapash's judgment).</t>
        </is>
      </c>
      <c r="R41" s="94" t="inlineStr">
        <is>
          <t>Mark S. Smith, 'The Ugaritic Baal Cycle' (Vols I-II); Dennis Pardee, 'Ritual and Cult at Ugarit'; N. Wyatt, 'Religious Texts from Ugarit.'</t>
        </is>
      </c>
      <c r="S41" s="94" t="inlineStr">
        <is>
          <t>Verify Baal 'cannot refuse' Mot's summons and Anat's dismemberment of Mot are textual (KTU 1.5-1.6). Keep the victory's cyclical/temporary nature explicit. Treat 'combat with Death' as the text's own personification, not a metaphor added.</t>
        </is>
      </c>
      <c r="T41" s="94" t="n"/>
      <c r="U41" s="94" t="inlineStr">
        <is>
          <t>LOW-MODERATE on the myth (textually solid); MODERATE on comparison — resist flattening Baal into a generic 'resurrection'; the win is seasonal and never final, which is the point.</t>
        </is>
      </c>
      <c r="V41" s="94" t="inlineStr">
        <is>
          <t>Pull KTU 1.5-1.6 column refs (M.S. Smith edition); cite Pardee on the seasonal cult; foreground the Smith/Frazer caveat once at cluster level.</t>
        </is>
      </c>
      <c r="W41" s="94" t="inlineStr">
        <is>
          <t>en.wikipedia.org/wiki/Baal_Cycle; grokipedia.com/page/Baal_Cycle (KTU 1.1-1.6; M.S. Smith)</t>
        </is>
      </c>
      <c r="X41" s="94" t="inlineStr">
        <is>
          <t>2026-06-14</t>
        </is>
      </c>
      <c r="Y41" s="86" t="inlineStr">
        <is>
          <t>Tier 1</t>
        </is>
      </c>
      <c r="Z41" s="86" t="inlineStr">
        <is>
          <t>Tier 2</t>
        </is>
      </c>
      <c r="AA41" s="106" t="inlineStr">
        <is>
          <t>Supportive</t>
        </is>
      </c>
      <c r="AB41" s="86" t="n"/>
      <c r="AC41" s="86" t="inlineStr">
        <is>
          <t>Not yet tested</t>
        </is>
      </c>
      <c r="AD41" s="86" t="n"/>
      <c r="AE41" s="105" t="inlineStr">
        <is>
          <t>Legacy — not yet tagged</t>
        </is>
      </c>
      <c r="AF41" s="105" t="n"/>
      <c r="AG41" s="105" t="n"/>
    </row>
    <row r="42" ht="283.5" customHeight="1" s="61">
      <c r="A42" s="94" t="inlineStr">
        <is>
          <t>DT-006</t>
        </is>
      </c>
      <c r="B42" s="94" t="inlineStr">
        <is>
          <t>DT-01</t>
        </is>
      </c>
      <c r="C42" s="94" t="inlineStr">
        <is>
          <t>Death-Admin / Refusal of Closure</t>
        </is>
      </c>
      <c r="D42" s="94" t="inlineStr">
        <is>
          <t>vindicated-return</t>
        </is>
      </c>
      <c r="E42" s="94" t="inlineStr">
        <is>
          <t>Early Christianity / New Testament; 1st c. CE</t>
        </is>
      </c>
      <c r="F42" s="94" t="inlineStr">
        <is>
          <t>The resurrection of Jesus — a crucified Galilean preacher proclaimed, within a few years of his execution, to have been raised bodily by God and vindicated over death; the founding claim of Christianity and the most influential instance of the 'refusal of closure' pattern this cluster tracks.</t>
        </is>
      </c>
      <c r="G42" s="94" t="inlineStr">
        <is>
          <t>Jesus of Nazareth is executed by Roman crucifixion (a fact even secular scholars call near-certain), buried, and — 'on the third day' — proclaimed risen, appearing to his followers. The earliest witness is not the later Gospels but a creed Paul says he 'received' and passed on (1 Cor 15:3-8: died for sins, buried, raised, appeared to Cephas, the Twelve, 500+, James, all the apostles), which a broad range of scholars — including secular ones — date to within a few years of the crucifixion (c. AD 30-36), very early rather than a slow legendary accretion. Unlike the seasonal gods, the resurrection is framed as singular and final: Christ 'dies no more; death has no more dominion over him' (Rom 6:9), a victory accomplished 'once for all' (Heb 9-10).</t>
        </is>
      </c>
      <c r="H42" s="94" t="inlineStr">
        <is>
          <t>Strip to the social-memory layer and the surface event is stark primate politics: an occupying imperial power (Rome) publicly executes a dissident — crucifixion, the maximal display of who-decides-who-lives — to close a perceived threat. The community's response refuses that closure: it insists the executed one was vindicated by the highest authority, that the powers who killed him did NOT get the last word. Whatever one makes of the claim's truth, its SOCIAL function is the inversion of a state execution into a verdict against the executioners — the cross, a Roman terror-instrument, becomes the central symbol of the vindicated victim.</t>
        </is>
      </c>
      <c r="I42" s="94" t="inlineStr">
        <is>
          <t>Here the pattern differs from Osiris. The refusal is not itself the bureaucracy (as with Osiris) — it is held as a singular, unrepeatable, historical-claimed event, and the priesthood-function grows up to administer ACCESS to it: the institution (clergy, sacraments, creed, canon) positions itself as the mandatory channel through which the victory is mediated to everyone else. The living signal — an innocent vindicated against worldly power — is canonized into an administered economy of salvation with an authorized interpreter at the gate. (This is the structural observation the lens makes; it says nothing about whether the underlying event occurred.)</t>
        </is>
      </c>
      <c r="J42" s="94" t="inlineStr">
        <is>
          <t>The most potent embedded remainder in the set: the claim that imperial execution is not the final word, that a tortured nobody can be the one God vindicates — a charge that has fueled both quietist consolation and genuinely subversive movements (abolition, liberation theology, civil-rights preaching) for two millennia. BUT the cluster's recurring irony is sharpest here: the same subversive remainder became the official cult of the empire that had wielded the cross (Constantine onward) — the refusal captured into the very kind of power it once indicted.</t>
        </is>
      </c>
      <c r="K42" s="94" t="inlineStr">
        <is>
          <t>Within the cluster: Osiris (DT-003, administered-return), Dumuzi (DT-004), Baal (DT-005) — but see the warning: a DIRECT 'dying-and-rising god' parallel is exactly what scholarship rejects. Better structural cousins: the vindicated-martyr pattern (2 Maccabees 7) and Jewish resurrection-hope (Daniel 12:2).</t>
        </is>
      </c>
      <c r="L42" s="94" t="inlineStr">
        <is>
          <t>Tier 1-2</t>
        </is>
      </c>
      <c r="M42" s="94" t="inlineStr">
        <is>
          <t>Sourced (this pass)</t>
        </is>
      </c>
      <c r="N42" s="94" t="inlineStr">
        <is>
          <t>HIGHEST-CARE ROW IN THE MATRIX. (1) Central confession of ~2.4 billion living Christians; the analysis is strictly of how the NARRATIVE functions as social memory and within the capture lens — NOT a verdict on whether the resurrection happened. (2) THE CRUX: do NOT extend the cluster's grouping into a 'Jesus = Osiris / Dumuzi dying-rising god' claim — the Frazerian move J.Z. Smith (and Mark S. Smith) dismantled as 'uncritical comparison,' now broadly the scholarly consensus; even Mettinger, the category's main modern defender, grants Frazer's conception is indefensible and treats the resurrection as no borrowing. Its own structure (singular, bodily, 'once for all,' eschatological) is unlike the seasonal pattern. (3) 1 Cor 15 is very early creedal material, so 'late pagan borrowing' is doubly unsupported. (4) The execution was a Roman crucifixion; the 'collective Jewish guilt' / deicide reading of the Passion is a documented engine of antisemitism, rejected here and repudiated by major churches (Nostra Aetate, 1965). Analytic lens, not a debunking.</t>
        </is>
      </c>
      <c r="O42" s="94" t="inlineStr">
        <is>
          <t>PF Case 3 (resurrection as refusal of closure) — the keystone instance; the refusal canonized into an administered economy of salvation (PF SS1-2). Sub-type = vindicated-return (singular victory, distinct from Osiris's administered-return and the cyclical modes).</t>
        </is>
      </c>
      <c r="P42" s="94" t="inlineStr">
        <is>
          <t>1 Corinthians 15:3-8 (the pre-Pauline creed); the Passion / empty-tomb narratives (Mark 15-16; Matt 28; Luke 24; John 20-21); Romans 6:9-10 and Hebrews 9:26-28, 10:10 (the 'once for all' framing); cf. Daniel 12:2; 2 Maccabees 7.</t>
        </is>
      </c>
      <c r="Q42" s="94" t="inlineStr">
        <is>
          <t>1 Cor 15:3-8 ('delivered' / 'received'; the appearance list); Rom 6:9 ('death no longer has dominion'); Heb 9:28-10:10 (ephapax, 'once for all'); Mark 16:6 ('he is risen; he is not here').</t>
        </is>
      </c>
      <c r="R42" s="94" t="inlineStr">
        <is>
          <t>Jonathan Z. Smith, 'Dying and Rising Gods' (Encyclopedia of Religion, 1987) &amp; on Frazer; Mark S. Smith; Tryggve Mettinger, 'The Riddle of Resurrection' (2001); Dale Allison, 'The Resurrection of Jesus' (2021); Bart Ehrman &amp; Gerd Ludemann on the early creed's dating.</t>
        </is>
      </c>
      <c r="S42" s="94" t="inlineStr">
        <is>
          <t>Is the structural (narrative -&gt; administered-access) reading kept distinct from any truth-claim, and is the anti-'dying-rising-parallel' caveat (Smith) load-bearing? Confirm the creed-dating and 'once for all' anchors. Treat as a living faith; do not debunk.</t>
        </is>
      </c>
      <c r="T42" s="94" t="n"/>
      <c r="U42" s="94" t="inlineStr">
        <is>
          <t>VERY HIGH — the highest in the matrix, on two axes. (a) Reductive comparative overreach (the 'just another dying-rising myth' claim) — explicitly rejected here on scholarly grounds (J.Z. Smith). (b) Mistaking functional analysis for a verdict on the faith — the lens describes how the narrative operates institutionally; it makes NO claim about the event's historicity or truth, and must not be read as doing so. Keep both guards visible whenever this row is cited.</t>
        </is>
      </c>
      <c r="V42" s="94" t="inlineStr">
        <is>
          <t>Pull 1 Cor 15:3-8 + Rom 6:9 + Heb 10:10; pull J.Z. Smith's 'Dying and Rising Gods' article and Mettinger's qualification; keep the truth-agnostic framing and the anti-parallel caveat both load-bearing.
[v0.19] Not load-bearing. Cite only with both guards visible (anti-reductive + functional-not-verdict). Interpretation capped at Tier 2-3.
[v0.19.1] Quarantine = handling discipline; motif evidence remains Tier 1.</t>
        </is>
      </c>
      <c r="W42" s="94" t="inlineStr">
        <is>
          <t>bmcr.brynmawr.edu (Mettinger rev.; J.Z. &amp; M. Smith on the category); vridar.org (Smith vs Mettinger summary); medium.com/interfaith-now &amp; beliefmap.org (1 Cor 15 creed dating; Ehrman / Ludemann)</t>
        </is>
      </c>
      <c r="X42" s="94" t="inlineStr">
        <is>
          <t>2026-06-14</t>
        </is>
      </c>
      <c r="Y42" s="86" t="inlineStr">
        <is>
          <t>Tier 1</t>
        </is>
      </c>
      <c r="Z42" s="86" t="inlineStr">
        <is>
          <t>Tier 2-3</t>
        </is>
      </c>
      <c r="AA42" s="109" t="inlineStr">
        <is>
          <t>Quarantine</t>
        </is>
      </c>
      <c r="AB42" s="86" t="n"/>
      <c r="AC42" s="86" t="inlineStr">
        <is>
          <t>Not yet tested</t>
        </is>
      </c>
      <c r="AD42" s="86" t="n"/>
      <c r="AE42" s="105" t="inlineStr">
        <is>
          <t>Legacy — not yet tagged</t>
        </is>
      </c>
      <c r="AF42" s="105" t="n"/>
      <c r="AG42" s="105" t="n"/>
    </row>
    <row r="43" ht="41.25" customHeight="1" s="61">
      <c r="A43" s="94" t="inlineStr">
        <is>
          <t>BW-001</t>
        </is>
      </c>
      <c r="B43" s="94" t="inlineStr">
        <is>
          <t>BW-01</t>
        </is>
      </c>
      <c r="C43" s="94" t="inlineStr">
        <is>
          <t>Birth Threshold / Warding Power</t>
        </is>
      </c>
      <c r="D43" s="94" t="n"/>
      <c r="E43" s="94" t="inlineStr">
        <is>
          <t>Mesopotamian</t>
        </is>
      </c>
      <c r="F43" s="94" t="inlineStr">
        <is>
          <t>Pazuzu</t>
        </is>
      </c>
      <c r="G43" s="94" t="inlineStr">
        <is>
          <t>Dangerous wind/demon figure used protectively against Lamashtu.</t>
        </is>
      </c>
      <c r="H43" s="94" t="inlineStr">
        <is>
          <t>Terrifying warding force used against worse threshold danger.</t>
        </is>
      </c>
      <c r="I43" s="94" t="inlineStr">
        <is>
          <t>Priesthood/ritual apparatus mediates danger through amulet/ward.</t>
        </is>
      </c>
      <c r="J43" s="94" t="inlineStr">
        <is>
          <t>Not good vs evil: harsh asha mask against druj at birth threshold.</t>
        </is>
      </c>
      <c r="K43" s="94" t="inlineStr">
        <is>
          <t>Lamashtu; protective grotesques; apotropaic figures</t>
        </is>
      </c>
      <c r="L43" s="94" t="inlineStr">
        <is>
          <t>Tier 1-2</t>
        </is>
      </c>
      <c r="M43" s="94" t="inlineStr">
        <is>
          <t>Needs source pass</t>
        </is>
      </c>
      <c r="N43" s="94" t="inlineStr">
        <is>
          <t>Avoid Christian demon frame; function matters.
[v0.19] Paired case with DF-002 (Lamashtu). BW-01 cluster underbuilt (single row).</t>
        </is>
      </c>
      <c r="O43" s="94" t="inlineStr">
        <is>
          <t>MFM §10</t>
        </is>
      </c>
      <c r="P43" s="94" t="inlineStr">
        <is>
          <t>TBD: identify primary text/artifact</t>
        </is>
      </c>
      <c r="Q43" s="94" t="inlineStr">
        <is>
          <t>TBD: exact passage, tablet, chapter, hymn, codex plate, or oral-transcription source</t>
        </is>
      </c>
      <c r="R43" s="94" t="inlineStr">
        <is>
          <t>TBD: one reputable secondary source</t>
        </is>
      </c>
      <c r="S43" s="94" t="inlineStr">
        <is>
          <t>Use MR-01 + MR-03</t>
        </is>
      </c>
      <c r="T43" s="94" t="n"/>
      <c r="U43" s="94" t="inlineStr">
        <is>
          <t>Medium until source pass complete</t>
        </is>
      </c>
      <c r="V43" s="94" t="inlineStr">
        <is>
          <t>Run model review, then source-pass</t>
        </is>
      </c>
      <c r="W43" s="94" t="n"/>
      <c r="X43" s="94" t="n"/>
      <c r="Y43" s="86" t="inlineStr">
        <is>
          <t>Tier 1</t>
        </is>
      </c>
      <c r="Z43" s="86" t="inlineStr">
        <is>
          <t>Tier 1-2</t>
        </is>
      </c>
      <c r="AA43" s="104" t="inlineStr">
        <is>
          <t>Load-bearing</t>
        </is>
      </c>
      <c r="AB43" s="86" t="n"/>
      <c r="AC43" s="86" t="inlineStr">
        <is>
          <t>Not yet tested</t>
        </is>
      </c>
      <c r="AD43" s="86" t="n"/>
      <c r="AE43" s="105" t="inlineStr">
        <is>
          <t>Legacy — not yet tagged</t>
        </is>
      </c>
      <c r="AF43" s="105" t="n"/>
      <c r="AG43" s="105" t="n"/>
    </row>
    <row r="44" ht="41.25" customHeight="1" s="61">
      <c r="A44" s="94" t="inlineStr">
        <is>
          <t>AD-001</t>
        </is>
      </c>
      <c r="B44" s="94" t="inlineStr">
        <is>
          <t>AD-01</t>
        </is>
      </c>
      <c r="C44" s="94" t="inlineStr">
        <is>
          <t>Asha / Druj Functional Lens</t>
        </is>
      </c>
      <c r="D44" s="94" t="n"/>
      <c r="E44" s="94" t="inlineStr">
        <is>
          <t>Zoroastrian / Iranian lens</t>
        </is>
      </c>
      <c r="F44" s="94" t="inlineStr">
        <is>
          <t>Asha vs Druj</t>
        </is>
      </c>
      <c r="G44" s="94" t="inlineStr">
        <is>
          <t>Truth/order/alignment versus lie/distortion/rupture.</t>
        </is>
      </c>
      <c r="H44" s="94" t="inlineStr">
        <is>
          <t>Moral-cosmic function better than good/evil creature classes.</t>
        </is>
      </c>
      <c r="I44" s="94" t="inlineStr">
        <is>
          <t>Order becomes suspect when it turns into mandatory capture.</t>
        </is>
      </c>
      <c r="J44" s="94" t="inlineStr">
        <is>
          <t>Coherence survives outside simple lawful-good/lawful-evil categories.</t>
        </is>
      </c>
      <c r="K44" s="94" t="inlineStr">
        <is>
          <t>Lamashtu/Pazuzu; lawful order/capture; chaos/refusal</t>
        </is>
      </c>
      <c r="L44" s="94" t="inlineStr">
        <is>
          <t>Tier 1-2</t>
        </is>
      </c>
      <c r="M44" s="94" t="inlineStr">
        <is>
          <t>Needs source pass</t>
        </is>
      </c>
      <c r="N44" s="94" t="inlineStr">
        <is>
          <t>Use as lens, not as claim that all traditions are Zoroastrian.</t>
        </is>
      </c>
      <c r="O44" s="94" t="inlineStr">
        <is>
          <t>User frame + comparative candidate</t>
        </is>
      </c>
      <c r="P44" s="94" t="inlineStr">
        <is>
          <t>TBD: identify primary text/artifact</t>
        </is>
      </c>
      <c r="Q44" s="94" t="inlineStr">
        <is>
          <t>TBD: exact passage, tablet, chapter, hymn, codex plate, or oral-transcription source</t>
        </is>
      </c>
      <c r="R44" s="94" t="inlineStr">
        <is>
          <t>TBD: one reputable secondary source</t>
        </is>
      </c>
      <c r="S44" s="94" t="inlineStr">
        <is>
          <t>Use MR-01 + MR-03</t>
        </is>
      </c>
      <c r="T44" s="94" t="n"/>
      <c r="U44" s="94" t="inlineStr">
        <is>
          <t>Medium until source pass complete</t>
        </is>
      </c>
      <c r="V44" s="94" t="inlineStr">
        <is>
          <t>Run model review, then source-pass
[v0.19] Reclassified Methodology-only: AD-01 is a diagnostic lens, not an evidence-bearing myth cluster.</t>
        </is>
      </c>
      <c r="W44" s="94" t="n"/>
      <c r="X44" s="94" t="n"/>
      <c r="Y44" s="86" t="inlineStr">
        <is>
          <t>n/a (lens)</t>
        </is>
      </c>
      <c r="Z44" s="86" t="inlineStr">
        <is>
          <t>n/a (lens)</t>
        </is>
      </c>
      <c r="AA44" s="110" t="inlineStr">
        <is>
          <t>Methodology-only</t>
        </is>
      </c>
      <c r="AB44" s="86" t="n"/>
      <c r="AC44" s="86" t="inlineStr">
        <is>
          <t>Not yet tested</t>
        </is>
      </c>
      <c r="AD44" s="86" t="n"/>
      <c r="AE44" s="105" t="inlineStr">
        <is>
          <t>Legacy — not yet tagged</t>
        </is>
      </c>
      <c r="AF44" s="105" t="n"/>
      <c r="AG44" s="105" t="n"/>
    </row>
    <row r="45" ht="41.25" customHeight="1" s="61">
      <c r="A45" s="94" t="inlineStr">
        <is>
          <t>AD-002</t>
        </is>
      </c>
      <c r="B45" s="94" t="inlineStr">
        <is>
          <t>AD-01</t>
        </is>
      </c>
      <c r="C45" s="94" t="inlineStr">
        <is>
          <t>Asha / Druj Functional Lens</t>
        </is>
      </c>
      <c r="D45" s="94" t="n"/>
      <c r="E45" s="94" t="inlineStr">
        <is>
          <t>Cross-cultural diagnostic</t>
        </is>
      </c>
      <c r="F45" s="94" t="inlineStr">
        <is>
          <t>Lawful order as potential capture</t>
        </is>
      </c>
      <c r="G45" s="94" t="inlineStr">
        <is>
          <t>Order can appear benevolent while suppressing bypass/refusal.</t>
        </is>
      </c>
      <c r="H45" s="94" t="inlineStr">
        <is>
          <t>Lawful good and lawful evil both risk fascism when law becomes mandatory obedience.</t>
        </is>
      </c>
      <c r="I45" s="94" t="inlineStr">
        <is>
          <t>Priesthood-function: living signal becomes administrable structure/debt/enforcement.</t>
        </is>
      </c>
      <c r="J45" s="94" t="inlineStr">
        <is>
          <t>Remainder persists as refusal, humor, local practice, trickster intelligence.</t>
        </is>
      </c>
      <c r="K45" s="94" t="inlineStr">
        <is>
          <t>Asha/Druj; priesthood-function; anti-capture protocols</t>
        </is>
      </c>
      <c r="L45" s="94" t="inlineStr">
        <is>
          <t>Tier 1</t>
        </is>
      </c>
      <c r="M45" s="94" t="inlineStr">
        <is>
          <t>Internal framework</t>
        </is>
      </c>
      <c r="N45" s="94" t="inlineStr">
        <is>
          <t>This is diagnostic architecture, not ancient-source claim.</t>
        </is>
      </c>
      <c r="O45" s="94" t="inlineStr">
        <is>
          <t>PF core diagnostic</t>
        </is>
      </c>
      <c r="P45" s="94" t="inlineStr">
        <is>
          <t>TBD: identify primary text/artifact</t>
        </is>
      </c>
      <c r="Q45" s="94" t="inlineStr">
        <is>
          <t>TBD: exact passage, tablet, chapter, hymn, codex plate, or oral-transcription source</t>
        </is>
      </c>
      <c r="R45" s="94" t="inlineStr">
        <is>
          <t>TBD: one reputable secondary source</t>
        </is>
      </c>
      <c r="S45" s="94" t="inlineStr">
        <is>
          <t>Use MR-01 + MR-03</t>
        </is>
      </c>
      <c r="T45" s="94" t="n"/>
      <c r="U45" s="94" t="inlineStr">
        <is>
          <t>Medium until source pass complete</t>
        </is>
      </c>
      <c r="V45" s="94" t="inlineStr">
        <is>
          <t>Run model review, then source-pass
[v0.19] Reclassified Methodology-only: framework concept, not an evidence row.</t>
        </is>
      </c>
      <c r="W45" s="94" t="n"/>
      <c r="X45" s="94" t="n"/>
      <c r="Y45" s="86" t="inlineStr">
        <is>
          <t>n/a (lens)</t>
        </is>
      </c>
      <c r="Z45" s="86" t="inlineStr">
        <is>
          <t>n/a (lens)</t>
        </is>
      </c>
      <c r="AA45" s="110" t="inlineStr">
        <is>
          <t>Methodology-only</t>
        </is>
      </c>
      <c r="AB45" s="86" t="n"/>
      <c r="AC45" s="86" t="inlineStr">
        <is>
          <t>Not yet tested</t>
        </is>
      </c>
      <c r="AD45" s="86" t="n"/>
      <c r="AE45" s="105" t="inlineStr">
        <is>
          <t>Legacy — not yet tagged</t>
        </is>
      </c>
      <c r="AF45" s="105" t="n"/>
      <c r="AG45" s="105" t="n"/>
    </row>
    <row r="46" ht="216" customHeight="1" s="61">
      <c r="A46" s="94" t="inlineStr">
        <is>
          <t>CC-001</t>
        </is>
      </c>
      <c r="B46" s="94" t="inlineStr">
        <is>
          <t>CC-01</t>
        </is>
      </c>
      <c r="C46" s="94" t="inlineStr">
        <is>
          <t>Sacred Contract / Covenant Capture</t>
        </is>
      </c>
      <c r="D46" s="94" t="inlineStr">
        <is>
          <t>vassal-treaty</t>
        </is>
      </c>
      <c r="E46" s="94" t="inlineStr">
        <is>
          <t>Ancient Near East — Hittite / Israelite</t>
        </is>
      </c>
      <c r="F46" s="94" t="inlineStr">
        <is>
          <t>Covenant as vassal treaty (suzerainty-treaty form ported to the sacred)</t>
        </is>
      </c>
      <c r="G46" s="94" t="inlineStr">
        <is>
          <t>Yahweh 'rescues' Israel from Egypt and binds them: obey the stipulations for blessing, disobey for curse, with heaven and earth as witnesses. Framed as divine love and election.</t>
        </is>
      </c>
      <c r="H46" s="94" t="inlineStr">
        <is>
          <t>A political-legal instrument — the suzerain/vassal treaty between two UNequal parties — is lifted into the sacred. Seat the deity in the great-king slot and the people in the vassal slot, and the whole community becomes a subject population with no negotiating position: loyalty or rebellion, nothing between.</t>
        </is>
      </c>
      <c r="I46" s="94" t="inlineStr">
        <is>
          <t>Capture + narrative heist: a contract is made cosmically permanent and unchallengeable. Because the great king is invisible, an interpreter becomes structurally necessary — the priest reads the treaty, declares the stipulations, pronounces blessing and curse, mediates suzerain and vassal. Political contract -&gt; sacred contract -&gt; mandatory intermediary.</t>
        </is>
      </c>
      <c r="J46" s="94" t="inlineStr">
        <is>
          <t>The contract FORM itself survives as the grammar of obligation; covenant theology's fixation on loyalty, betrayal, and punishment is the treaty's enforcement clause surviving as doctrine. The legal-political DNA stays legible under the sacred surface.</t>
        </is>
      </c>
      <c r="K46" s="94" t="inlineStr">
        <is>
          <t>Hittite suzerainty treaties (Mursili II – Duppi-Tessub); neo-Assyrian Vassal-Treaties of Esarhaddon; Deuteronomy / Exod 20 / Josh 24; cf. debt + Black Ledger (PF §4)</t>
        </is>
      </c>
      <c r="L46" s="94" t="inlineStr">
        <is>
          <t>Tier 1-2</t>
        </is>
      </c>
      <c r="M46" s="94" t="inlineStr">
        <is>
          <t>Sourced (this pass)</t>
        </is>
      </c>
      <c r="N46" s="94" t="inlineStr">
        <is>
          <t>Founding row of CC-01 (Sacred Contract / Covenant Capture). Keep separable: the FORM-parallel is mainstream/strong; 'priesthood as mandatory interpreter' and 'conscious heist' are framework gloss, NOT stated by the treaty form. Reads Tier 1 (form) / Tier 2 (capture-intent &amp; dating); bucketed 1-2. Dating contested (see Overclaim Risk).</t>
        </is>
      </c>
      <c r="O46" s="94" t="inlineStr">
        <is>
          <t>MFM §7A; PF §1, §4 (capture, Black Ledger)</t>
        </is>
      </c>
      <c r="P46" s="94" t="inlineStr">
        <is>
          <t>Treaty of Mursili II with Duppi-Tessub of Amurru (Goetze trans., Pritchard ANET p.203); Vassal-Treaties of Esarhaddon (Wiseman 1958); Deuteronomy (overall structure); Exod 20:2; Deut 28; Josh 24</t>
        </is>
      </c>
      <c r="Q46" s="94" t="inlineStr">
        <is>
          <t>Treaty preamble formula ('These are the words of the Sun Mursili, the great king...') vs Exod 20:2; treaty curse-section vs Deut 28; deposition/reading clause vs Deut 31:9-13</t>
        </is>
      </c>
      <c r="R46" s="94" t="inlineStr">
        <is>
          <t>Mendenhall, 'Covenant Forms in Israelite Tradition,' Biblical Archaeologist XVII (1954) 50-76, and Law and Covenant in Israel and the ANE (1955); Kline, 'The Two Tables of the Covenant' (WTJ); Korosec, Hethitische Staatsvertraege (1931); neo-Assyrian counter-model assoc. w/ Weinfeld, Deuteronomy and the Deuteronomic School (1972) — VERIFY attribution</t>
        </is>
      </c>
      <c r="S46" s="94" t="inlineStr">
        <is>
          <t>MR-01 (run, below) + MR-05 (priesthood-function scan)</t>
        </is>
      </c>
      <c r="T46" s="94" t="inlineStr">
        <is>
          <t>MR-01 verdict: FORM-parallel = Tier 1, well attested (Mendenhall/Korosec; Mursili preamble ~ Exod 20:2). Capture-intent gloss + Hittite-vs-Assyrian dating = Tier 2 / contested. Strongest counter = neo-Assyrian model (Esarhaddon treaties): if Deut's form is 7th-c. Assyrian not Bronze-Age Hittite, the row stays valid but relocates in time and LOSES any 'deep/early memory' claim. Note: even proponents disagree on which verses map to which treaty element.</t>
        </is>
      </c>
      <c r="U46" s="94" t="inlineStr">
        <is>
          <t>MED-HIGH if 'heist' is read as conscious scribal borrowing or as proof of priestly conspiracy. Form-correspondence =/= conscious dependence; could reflect a shared ANE legal koine. Do NOT let this row carry an early-vs-late dating claim — that debate is unresolved.</t>
        </is>
      </c>
      <c r="V46" s="94" t="inlineStr">
        <is>
          <t>Confirm Weinfeld / neo-Assyrian attribution; pull the two preamble texts (Mursili vs Exod 20:2) side by side; add sibling rows to CC-01 (debt-bondage, loyalty-oath).</t>
        </is>
      </c>
      <c r="W46" s="94" t="inlineStr">
        <is>
          <t>thegospelcoalition.org/themelios (covenant-treaty-and-prophecy); meredithkline.com (Two Tables of the Covenant)</t>
        </is>
      </c>
      <c r="X46" s="94" t="inlineStr">
        <is>
          <t>2026-06-14</t>
        </is>
      </c>
      <c r="Y46" s="86" t="inlineStr">
        <is>
          <t>Tier 1</t>
        </is>
      </c>
      <c r="Z46" s="86" t="inlineStr">
        <is>
          <t>Tier 2</t>
        </is>
      </c>
      <c r="AA46" s="104" t="inlineStr">
        <is>
          <t>Load-bearing</t>
        </is>
      </c>
      <c r="AB46" s="86" t="n"/>
      <c r="AC46" s="86" t="inlineStr">
        <is>
          <t>Not yet tested</t>
        </is>
      </c>
      <c r="AD46" s="86" t="n"/>
      <c r="AE46" s="105" t="inlineStr">
        <is>
          <t>Legacy — not yet tagged</t>
        </is>
      </c>
      <c r="AF46" s="105" t="n"/>
      <c r="AG46" s="105" t="n"/>
    </row>
    <row r="47" ht="283.5" customHeight="1" s="61">
      <c r="A47" s="94" t="inlineStr">
        <is>
          <t>CC-002</t>
        </is>
      </c>
      <c r="B47" s="94" t="inlineStr">
        <is>
          <t>CC-01</t>
        </is>
      </c>
      <c r="C47" s="94" t="inlineStr">
        <is>
          <t>Sacred Contract / Covenant Capture</t>
        </is>
      </c>
      <c r="D47" s="94" t="inlineStr">
        <is>
          <t>debt-release</t>
        </is>
      </c>
      <c r="E47" s="94" t="inlineStr">
        <is>
          <t>Hebrew Bible (Holiness &amp; Deuteronomic Codes); ANE debt-cancellation</t>
        </is>
      </c>
      <c r="F47" s="94" t="inlineStr">
        <is>
          <t>The Jubilee &amp; the Year of Release — debt-slavery limited and periodically cancelled because the people and the land already belong to YHWH.</t>
        </is>
      </c>
      <c r="G47" s="94" t="inlineStr">
        <is>
          <t>Leviticus 25 mandates that every 50th year (after seven sabbatical cycles) the shofar sounds, debts are forgiven, Israelite debt-slaves freed, and ancestral land returned to its original families; Deuteronomy 15 sets a 7-year 'release' (šĕmiṭṭâ) cancelling debts and freeing debt-servants ('do not send them away empty-handed'). The rationale is ownership: 'they are my servants whom I brought out of Egypt' (Lev 25:42), and the land 'is mine' (Lev 25:23) — so no Israelite is permanently sold and no land permanently alienated.</t>
        </is>
      </c>
      <c r="H47" s="94" t="inlineStr">
        <is>
          <t>Two creditors are stacked. Human creditors can bind the poor into bondage — real, enforceable debt — but a HIGHER creditor (the deity) holds a prior lien on every person and every acre, and that senior claim periodically voids the junior ones. The poor survive not because debt is abolished but because all human debt is subordinated to a master-debt owed to God: you cannot be permanently owned by your neighbor because you are already owned by YHWH.</t>
        </is>
      </c>
      <c r="I47" s="94" t="inlineStr">
        <is>
          <t>The black ledger made statutory — life, land, and labor booked as obligations, with the ultimate account held by the divine party to the covenant. The release valve (Jubilee/šĕmiṭṭâ) prevents permanent capture by human elites while CANONIZING permanent capture by the covenant itself; freedom is reframed as a transfer of ownership from a human master to the divine one (servants of YHWH, not of men).</t>
        </is>
      </c>
      <c r="J47" s="94" t="inlineStr">
        <is>
          <t>Genuinely protective — the cluster's most double-edged case. The same logic that asserts total divine ownership also installs a real, recurring check on predatory wealth, land-monopoly, and hereditary debt-slavery; 'proclaim liberty (dĕrôr) throughout the land' (Lev 25:10) is emancipatory, not only proprietary. The remainder is a structural mercy embedded in the contract — even if, as the texts concede, the Jubilee may never have been fully observed.</t>
        </is>
      </c>
      <c r="K47" s="94" t="inlineStr">
        <is>
          <t>Covenant-as-vassal-treaty (CC-001); Esarhaddon's oath (CC-003); ANE 'clean slate' edicts (mīšarum / andurārum); Nehemiah 5 (debt remission)</t>
        </is>
      </c>
      <c r="L47" s="94" t="inlineStr">
        <is>
          <t>Tier 1-2</t>
        </is>
      </c>
      <c r="M47" s="94" t="inlineStr">
        <is>
          <t>Sourced (this pass)</t>
        </is>
      </c>
      <c r="N47" s="94" t="inlineStr">
        <is>
          <t>AMBIVALENT — read as capture (divine master-debt) AND as liberation (anti-predation mercy); hold both, don't flatten to either (guards against the totalizing-lens failure). The Hebrew dĕrôr ('liberty') is a loanword from Akkadian andurārum, the Mesopotamian royal debt-cancellation term — strong evidence the institution draws on ANE statecraft. NB: no biblical record the Jubilee was ever actually practiced (possible ideal/utopian law). Living Jewish &amp; Christian scripture — analytic lens, not a verdict on the tradition.</t>
        </is>
      </c>
      <c r="O47" s="94" t="inlineStr">
        <is>
          <t>PF §4 (black ledger / debt) — the ECONOMIC mechanism of covenant capture. Sub-type = debt-release.</t>
        </is>
      </c>
      <c r="P47" s="94" t="inlineStr">
        <is>
          <t>Leviticus 25:8-55 (Jubilee, Holiness Code); Deuteronomy 15:1-18 (the release year); Exodus 21:1-6 &amp; 23:10-11 (earlier slave/fallow law); cf. Isaiah 61:1; Nehemiah 5.</t>
        </is>
      </c>
      <c r="Q47" s="94" t="inlineStr">
        <is>
          <t>Lev 25:10 (proclaim dĕrôr), 25:23 (the land is mine), 25:42 (they are my servants); Deut 15:1-2, 12-15 (release + 'not empty-handed').</t>
        </is>
      </c>
      <c r="R47" s="94" t="inlineStr">
        <is>
          <t>Michael Hudson, '...and forgive them their debts' (Bronze-Age clean-slate background); Moshe Weinfeld, 'Social Justice in Ancient Israel'; Jacob Milgrom, 'Leviticus' (AB) on Lev 25.</t>
        </is>
      </c>
      <c r="S47" s="94" t="inlineStr">
        <is>
          <t>Hold the capture/liberation tension explicitly — does the row honor both? Confirm the andurārum-&gt;dĕrôr loan and the divine-ownership rationale (Lev 25:23, 42). Note the 'never observed' caveat.</t>
        </is>
      </c>
      <c r="T47" s="94" t="n"/>
      <c r="U47" s="94" t="inlineStr">
        <is>
          <t>HIGH if read as purely sinister 'capture' — the protective/anti-predation function is real and central; equally HIGH if read as purely liberatory — the divine-ownership claim is the frame. The honest reading is the doubled creditor.</t>
        </is>
      </c>
      <c r="V47" s="94" t="inlineStr">
        <is>
          <t>Pull Lev 25 + Deut 15 verse refs (Milgrom); cite Hudson on mīšarum; keep the ambivalence load-bearing.</t>
        </is>
      </c>
      <c r="W47" s="94" t="inlineStr">
        <is>
          <t>oxfordbiblicalstudies 'Release from Debt'; cadtm.org 'Long Tradition of Debt Cancellation' (Lev 25; Deut 15; andurārum)</t>
        </is>
      </c>
      <c r="X47" s="94" t="inlineStr">
        <is>
          <t>2026-06-14</t>
        </is>
      </c>
      <c r="Y47" s="86" t="inlineStr">
        <is>
          <t>Tier 1</t>
        </is>
      </c>
      <c r="Z47" s="86" t="inlineStr">
        <is>
          <t>Tier 2</t>
        </is>
      </c>
      <c r="AA47" s="106" t="inlineStr">
        <is>
          <t>Supportive</t>
        </is>
      </c>
      <c r="AB47" s="86" t="n"/>
      <c r="AC47" s="86" t="inlineStr">
        <is>
          <t>Not yet tested</t>
        </is>
      </c>
      <c r="AD47" s="86" t="n"/>
      <c r="AE47" s="105" t="inlineStr">
        <is>
          <t>Legacy — not yet tagged</t>
        </is>
      </c>
      <c r="AF47" s="105" t="n"/>
      <c r="AG47" s="105" t="n"/>
    </row>
    <row r="48" ht="283.5" customHeight="1" s="61">
      <c r="A48" s="94" t="inlineStr">
        <is>
          <t>CC-003</t>
        </is>
      </c>
      <c r="B48" s="94" t="inlineStr">
        <is>
          <t>CC-01</t>
        </is>
      </c>
      <c r="C48" s="94" t="inlineStr">
        <is>
          <t>Sacred Contract / Covenant Capture</t>
        </is>
      </c>
      <c r="D48" s="94" t="inlineStr">
        <is>
          <t>loyalty-oath</t>
        </is>
      </c>
      <c r="E48" s="94" t="inlineStr">
        <is>
          <t>Neo-Assyrian (Akkadian); cf. Deuteronomy</t>
        </is>
      </c>
      <c r="F48" s="94" t="inlineStr">
        <is>
          <t>Esarhaddon's Succession Treaty (adê) — the 672 BCE imperial loyalty oath whose curse-formulae closely parallel Deuteronomy 28, raising the question whether the covenant's enforcement-apparatus is theologized Assyrian statecraft.</t>
        </is>
      </c>
      <c r="G48" s="94" t="inlineStr">
        <is>
          <t>In 672 BCE the Assyrian king Esarhaddon had his empire (and, on the maximal reading, vassals) swear an adê — a loyalty oath/treaty binding them to uphold the succession of his heir Ashurbanipal, enforced by a long catalogue of horrifying curses on oath-breakers. The treaty has the familiar shape — historical prologue, stipulations, blessings and curses — and several of its curse-motifs (siege-cannibalism, scattering / exile) align strikingly with the curses of Deuteronomy 28:20-44.</t>
        </is>
      </c>
      <c r="H48" s="94" t="inlineStr">
        <is>
          <t>This is the bare political instrument behind the sacred contract: a ruler manufacturing binding loyalty by making subjects SWEAR, under self-cursing oath, to a succession that serves him — obligation produced by terror of the curse. When the same machinery turns up in a covenant with a god, the question sharpens: is the divine covenant a unique revelation, or the standard Near Eastern loyalty-oath with the suzerain's name changed to YHWH?</t>
        </is>
      </c>
      <c r="I48" s="94" t="inlineStr">
        <is>
          <t>The strongest counter-row in the cluster, built as evidence against the deep-memory claim. If Deuteronomy's curse-apparatus borrows from the EST (Weinfeld; Steymans; Levinson &amp; Stackert), then the covenant's enforcement layer is datable 7th-century imperial technology — capture and canonization caught in the act: a political oath-form sacralized into scripture between 672 and 622 BCE.</t>
        </is>
      </c>
      <c r="J48" s="94" t="inlineStr">
        <is>
          <t>The parallel cuts both ways and the debate is live — so this row deliberately sharpens rather than settles. What survives either way is the formal kinship: covenant and loyalty-oath share a curse-grammar, whether by direct borrowing or by common Near Eastern inheritance. The remainder is the discomfort the resemblance produces for any 'wholly unique covenant' reading.</t>
        </is>
      </c>
      <c r="K48" s="94" t="inlineStr">
        <is>
          <t>Covenant-as-vassal-treaty (CC-001 — its direct counterpart); Hittite treaties; debt-bondage / Jubilee (CC-002); Deuteronomy 28</t>
        </is>
      </c>
      <c r="L48" s="94" t="inlineStr">
        <is>
          <t>Tier 1-2</t>
        </is>
      </c>
      <c r="M48" s="94" t="inlineStr">
        <is>
          <t>Sourced (this pass)</t>
        </is>
      </c>
      <c r="N48" s="94" t="inlineStr">
        <is>
          <t>LIVE SCHOLARLY DEBATE — the direct-borrowing thesis (Weinfeld 1965; Steymans 1995; Levinson &amp; Stackert 2012) is strong but CONTESTED: the 2012 Tell Tayinat find prompted a challenge arguing the empire-wide oath may not have bound western vassals like Judah, questioning how Judahite scribes accessed the adê. Present BOTH sides; do not assert borrowing as settled. The structural treaty-parallel is broadly accepted even where direct dependence is disputed.</t>
        </is>
      </c>
      <c r="O48" s="94" t="inlineStr">
        <is>
          <t>PF §1-2 (capture, canonize) — the FORM / ENFORCEMENT mechanism; the strongest counterargument to CC-001 made into a row. Sub-type = loyalty-oath.</t>
        </is>
      </c>
      <c r="P48" s="94" t="inlineStr">
        <is>
          <t>Esarhaddon's Succession Treaty / Vassal Treaties of Esarhaddon (SAA 2 6), 672 BCE; the Tell Tayinat copy (2012); read against Deuteronomy 28:20-44 &amp; 13.</t>
        </is>
      </c>
      <c r="Q48" s="94" t="inlineStr">
        <is>
          <t>EST §56 curses vs Deut 28:20-44; the Tayinat §§53-55 (deities from Palestine); the divine-witness / curse list (SAA 2 6:414-465).</t>
        </is>
      </c>
      <c r="R48" s="94" t="inlineStr">
        <is>
          <t>Moshe Weinfeld, 'Deuteronomy and the Deuteronomic School' &amp; 'The Loyalty Oath in the ANE' (UF 8); H.U. Steymans (1995); Levinson &amp; Stackert (2012); contra: the Tell Tayinat-based reassessment of vassal inclusion.</t>
        </is>
      </c>
      <c r="S48" s="94" t="inlineStr">
        <is>
          <t>Present the borrowing thesis AND its challenge fairly; separate the strong structural parallel from the disputed direct-dependence claim. Verify the 672 BCE date and the specific Deut 28 curse parallels.</t>
        </is>
      </c>
      <c r="T48" s="94" t="n"/>
      <c r="U48" s="94" t="inlineStr">
        <is>
          <t>HIGH if 'Deuteronomy copied Esarhaddon' is stated as fact — it is a leading but contested hypothesis; the safe claim is formal / structural kinship within the ANE treaty tradition. Don't let the row's rhetorical force outrun the evidence.</t>
        </is>
      </c>
      <c r="V48" s="94" t="inlineStr">
        <is>
          <t>Pull SAA 2 6 curse lines + Deut 28 parallels (Levinson &amp; Stackert); cite the Tayinat reassessment as the counter; keep the debate visible.</t>
        </is>
      </c>
      <c r="W48" s="94" t="inlineStr">
        <is>
          <t>bibleinterp.arizona.edu Deuteronomy/Esarhaddon curses; academia.edu 'Esarhaddon's Succession Treaty at Tell Tayinat' (SAA 2 6; Deut 28)</t>
        </is>
      </c>
      <c r="X48" s="94" t="inlineStr">
        <is>
          <t>2026-06-14</t>
        </is>
      </c>
      <c r="Y48" s="86" t="inlineStr">
        <is>
          <t>Tier 1</t>
        </is>
      </c>
      <c r="Z48" s="86" t="inlineStr">
        <is>
          <t>Tier 2</t>
        </is>
      </c>
      <c r="AA48" s="104" t="inlineStr">
        <is>
          <t>Load-bearing</t>
        </is>
      </c>
      <c r="AB48" s="86" t="n"/>
      <c r="AC48" s="86" t="inlineStr">
        <is>
          <t>Not yet tested</t>
        </is>
      </c>
      <c r="AD48" s="86" t="n"/>
      <c r="AE48" s="105" t="inlineStr">
        <is>
          <t>Legacy — not yet tagged</t>
        </is>
      </c>
      <c r="AF48" s="105" t="n"/>
      <c r="AG48" s="105" t="n"/>
    </row>
    <row r="49" ht="297" customHeight="1" s="61">
      <c r="A49" s="94" t="inlineStr">
        <is>
          <t>UF-001</t>
        </is>
      </c>
      <c r="B49" s="94" t="inlineStr">
        <is>
          <t>UF-01</t>
        </is>
      </c>
      <c r="C49" s="94" t="inlineStr">
        <is>
          <t>Uncontained / Co-opted Feminine</t>
        </is>
      </c>
      <c r="D49" s="94" t="inlineStr">
        <is>
          <t>harnessed-autonomy</t>
        </is>
      </c>
      <c r="E49" s="94" t="inlineStr">
        <is>
          <t>Mesopotamian — Sumerian (Inanna) / Akkadian-Babylonian-Assyrian (Ishtar)</t>
        </is>
      </c>
      <c r="F49" s="94" t="inlineStr">
        <is>
          <t>Inanna / Ishtar — Queen of Heaven: love, sex, war, sovereignty, Venus, descent</t>
        </is>
      </c>
      <c r="G49" s="94" t="inlineStr">
        <is>
          <t>One goddess of sexual love AND war AND political power; she descends to the netherworld and returns, seizes the me (divine offices), proposes to Gilgamesh and looses the Bull of Heaven when refused, and legitimizes kings through the sacred marriage. Patron of Eanna at Uruk.</t>
        </is>
      </c>
      <c r="H49" s="94" t="inlineStr">
        <is>
          <t>A single female figure holds every domain a later patriarchal order prefers to split and parcel out — eros, violence, fertility, sovereignty, death-passage. She is power before it has been made administratively safe: the 'furnace with a face,' not the virgin/mother/whore grid.</t>
        </is>
      </c>
      <c r="I49" s="94" t="inlineStr">
        <is>
          <t>NOT demonization here but CO-OPTION. The sacred-marriage rite harnesses her sexual-divine authority to legitimize male kingship (king-as-Dumuzi joins priestess-as-Inanna); her power sanctions the throne rather than being monstered. Capture by elevation-and-attachment, not by splitting.</t>
        </is>
      </c>
      <c r="J49" s="94" t="inlineStr">
        <is>
          <t>The unsplit goddess persists in the hymns and the Descent; her refusal to be reduced to wife/mother survives even inside the rite that instrumentalizes her. Later syncretism (Astarte, Aphrodite, Venus) carries fragments forward.</t>
        </is>
      </c>
      <c r="K49" s="94" t="inlineStr">
        <is>
          <t>Kali (DF-006, also un-demonized in tradition); Astarte / Aphrodite / Venus (lossy); cf. sovereignty-legitimation (OO-01)</t>
        </is>
      </c>
      <c r="L49" s="94" t="inlineStr">
        <is>
          <t>Tier 1-2</t>
        </is>
      </c>
      <c r="M49" s="94" t="inlineStr">
        <is>
          <t>Sourced (this pass)</t>
        </is>
      </c>
      <c r="N49" s="94" t="inlineStr">
        <is>
          <t>Founding row of UF-01 (Uncontained / Co-opted Feminine), split out from DF-01. The CO-OPTION pole: power harnessed via sacred-marriage kingship-legitimation, not demonized. Keep syncretism (Ishtar = Astarte = Aphrodite = Venus) marked, not flattened.</t>
        </is>
      </c>
      <c r="O49" s="94" t="inlineStr">
        <is>
          <t>MFM §9 ('furnace with a face'); §8 (feminine under capture); PF §1 (capture)</t>
        </is>
      </c>
      <c r="P49" s="94" t="inlineStr">
        <is>
          <t>Inanna's Descent to the Netherworld (Sum.) / Descent of Ishtar (Akk.); Inanna and Enki (the me); Exaltation of Inanna (nin-me-sara, Enheduanna); Gilgamesh Tablet VI (proposal, Bull of Heaven); Dumuzi-Inanna love songs / Iddin-Dagan A; Uruk Vase; Burney 'Queen of the Night' relief (attribution debated)</t>
        </is>
      </c>
      <c r="Q49" s="94" t="inlineStr">
        <is>
          <t>Descent (her seven me / death + return); Gilgamesh VI 1-79 (proposal + lover-list); Iddin-Dagan A (sacred-marriage legitimation); Enheduanna's exaltation lines</t>
        </is>
      </c>
      <c r="R49" s="94" t="inlineStr">
        <is>
          <t>Rivkah Harris, 'Inanna-Ishtar as Paradox and a Coincidence of Opposites,' History of Religions 30/3 (1991) 261-78; Jacobsen, The Treasures of Darkness; Bahrani, Women of Babylon ('alterity'); Abusch, 'Ishtar's Proposal and Gilgamesh's Refusal,' HR 26 (1986); Frymer-Kensky, In the Wake of the Goddesses; Meador (Enheduanna); sacred-marriage/kingship: Steinkeller (1999), Jones JAOS 123 (2003), Lapinkivi (2004, critical on literal rite)</t>
        </is>
      </c>
      <c r="S49" s="94" t="inlineStr">
        <is>
          <t>MR-01 (run, below) + MR-04 (counterexample hunt — she partly IS one for DF-01)</t>
        </is>
      </c>
      <c r="T49" s="94" t="inlineStr">
        <is>
          <t>MR-01: Tier 1 for the coincidence-of-opposites (Harris) — fuses sex/war/sovereignty/descent, breaks virgin/mother/whore. She is NOT demonized: exalted for millennia. The capture that hit her was CO-OPTION (sacred-marriage legitimation of male kingship). DF-01 split DONE: she anchors UF-01's co-option pole; Kali (UF-002) the uncontained pole.</t>
        </is>
      </c>
      <c r="U49" s="94" t="inlineStr">
        <is>
          <t>HIGH if read as 'demonized goddess' — she wasn't. Don't flatten Ishtar = Astarte = Aphrodite = Venus (Harris warns outsiders level her distinctively Mesopotamian features). Sacred-marriage LITERAL enactment is debated (symbolic vs physical; Lapinkivi) — assert the legitimation-function + hymns, flag the enactment. Enheduanna authorship = attribution.</t>
        </is>
      </c>
      <c r="V49" s="94" t="inlineStr">
        <is>
          <t>Pull Descent + Gilgamesh VI + Iddin-Dagan A passages; confirm Frymer-Kensky / Lapinkivi cites; populate UF-01 (Athena, Durga, Sekhmet).</t>
        </is>
      </c>
      <c r="W49" s="94" t="inlineStr">
        <is>
          <t>jstor.org/stable/1062957 (Harris); en.wikipedia.org/wiki/Inanna; oracc.museum.upenn.edu/amgg (Inana/Istar)</t>
        </is>
      </c>
      <c r="X49" s="94" t="inlineStr">
        <is>
          <t>2026-06-14</t>
        </is>
      </c>
      <c r="Y49" s="86" t="inlineStr">
        <is>
          <t>Tier 1</t>
        </is>
      </c>
      <c r="Z49" s="86" t="inlineStr">
        <is>
          <t>Tier 2</t>
        </is>
      </c>
      <c r="AA49" s="106" t="inlineStr">
        <is>
          <t>Supportive</t>
        </is>
      </c>
      <c r="AB49" s="86" t="n"/>
      <c r="AC49" s="86" t="inlineStr">
        <is>
          <t>Not yet tested</t>
        </is>
      </c>
      <c r="AD49" s="86" t="n"/>
      <c r="AE49" s="105" t="inlineStr">
        <is>
          <t>Mixed — separate layers</t>
        </is>
      </c>
      <c r="AF49" s="105" t="inlineStr">
        <is>
          <t>Keep distinct Inanna/Ishtar sources and living reception; TH-001 treats only the named descent composition.</t>
        </is>
      </c>
      <c r="AG49" s="105" t="inlineStr">
        <is>
          <t>TH-01</t>
        </is>
      </c>
    </row>
    <row r="50" ht="41.25" customHeight="1" s="61">
      <c r="A50" s="94" t="inlineStr">
        <is>
          <t>UF-002</t>
        </is>
      </c>
      <c r="B50" s="94" t="inlineStr">
        <is>
          <t>UF-01</t>
        </is>
      </c>
      <c r="C50" s="94" t="inlineStr">
        <is>
          <t>Uncontained / Co-opted Feminine</t>
        </is>
      </c>
      <c r="D50" s="94" t="inlineStr">
        <is>
          <t>uncontained</t>
        </is>
      </c>
      <c r="E50" s="94" t="inlineStr">
        <is>
          <t>Hindu</t>
        </is>
      </c>
      <c r="F50" s="94" t="inlineStr">
        <is>
          <t>Kali</t>
        </is>
      </c>
      <c r="G50" s="94" t="inlineStr">
        <is>
          <t>Terrifying goddess of time, death, blood, liberation, fierce motherhood.</t>
        </is>
      </c>
      <c r="H50" s="94" t="inlineStr">
        <is>
          <t>Fierce feminine power resists polite/administered womanhood.</t>
        </is>
      </c>
      <c r="I50" s="94" t="inlineStr">
        <is>
          <t>Not simply demonized; ritualized power that can exceed control.</t>
        </is>
      </c>
      <c r="J50" s="94" t="inlineStr">
        <is>
          <t>The furnace with a face: whole feminine not split into safe roles.</t>
        </is>
      </c>
      <c r="K50" s="94" t="inlineStr">
        <is>
          <t>Inanna/Ishtar; Tiamat; Durga; Sekhmet</t>
        </is>
      </c>
      <c r="L50" s="94" t="inlineStr">
        <is>
          <t>Tier 1-2</t>
        </is>
      </c>
      <c r="M50" s="86" t="inlineStr">
        <is>
          <t>Secondary verified; confirm primary (motif)</t>
        </is>
      </c>
      <c r="N50" s="86" t="inlineStr">
        <is>
          <t>Member of UF-01 (Uncontained / Co-opted Feminine) — the uncontained/unsplit 'furnace with a face' pole (paradox, not kingship co-option). Not a demon in her own tradition.
[v0.19.1 source-pass] Primary anchored to Devi Mahatmya ch. 7 (+ ch. 11 stuti); Kinsley ch. 8 verified. The modern 'resistance to administered womanhood' reading stays flagged as interpretive. Living-tradition care. Tier unchanged.</t>
        </is>
      </c>
      <c r="O50" s="94" t="inlineStr">
        <is>
          <t>MFM §9</t>
        </is>
      </c>
      <c r="P50" s="86" t="inlineStr">
        <is>
          <t>Devi Mahatmya (Markandeya Purana), the Candi.</t>
        </is>
      </c>
      <c r="Q50" s="86" t="inlineStr">
        <is>
          <t>Ch. 7 (Kali springs from Durga's brow, slays Canda &amp; Munda -&gt; Camunda); ch. 11 (Narayani Stuti) - confirm chapter numbering in chosen recension.</t>
        </is>
      </c>
      <c r="R50" s="86" t="inlineStr">
        <is>
          <t>Kinsley, Hindu Goddesses (Univ. of California Press, 1988), ch. 8 (Kali). [VERIFIED - confirm page]</t>
        </is>
      </c>
      <c r="S50" s="94" t="inlineStr">
        <is>
          <t>Use MR-01 + MR-03</t>
        </is>
      </c>
      <c r="T50" s="94" t="n"/>
      <c r="U50" s="94" t="inlineStr">
        <is>
          <t>Medium until source pass complete</t>
        </is>
      </c>
      <c r="V50" s="94" t="inlineStr">
        <is>
          <t>Run model review, then source-pass
[v0.19] Source-pass: too broad; narrow to a specific text/tradition (Devi Mahatmya vs Tantric vs Bengali devotional).</t>
        </is>
      </c>
      <c r="W50" s="86" t="inlineStr">
        <is>
          <t>Kinsley 1988, Hindu Goddesses (UC Press). doi.org/10.1525/9780520908833</t>
        </is>
      </c>
      <c r="X50" s="94" t="n"/>
      <c r="Y50" s="86" t="inlineStr">
        <is>
          <t>Tier 2</t>
        </is>
      </c>
      <c r="Z50" s="86" t="inlineStr">
        <is>
          <t>Tier 3</t>
        </is>
      </c>
      <c r="AA50" s="107" t="inlineStr">
        <is>
          <t>Source-pass</t>
        </is>
      </c>
      <c r="AB50" s="86" t="n"/>
      <c r="AC50" s="86" t="inlineStr">
        <is>
          <t>Not yet tested</t>
        </is>
      </c>
      <c r="AD50" s="86" t="n"/>
      <c r="AE50" s="105" t="inlineStr">
        <is>
          <t>Legacy — not yet tagged</t>
        </is>
      </c>
      <c r="AF50" s="105" t="n"/>
      <c r="AG50" s="105" t="n"/>
    </row>
    <row r="51" ht="283.5" customHeight="1" s="61">
      <c r="A51" s="94" t="inlineStr">
        <is>
          <t>UF-003</t>
        </is>
      </c>
      <c r="B51" s="94" t="inlineStr">
        <is>
          <t>UF-01</t>
        </is>
      </c>
      <c r="C51" s="94" t="inlineStr">
        <is>
          <t>Uncontained / Co-opted Feminine</t>
        </is>
      </c>
      <c r="D51" s="94" t="inlineStr">
        <is>
          <t>constituted</t>
        </is>
      </c>
      <c r="E51" s="94" t="inlineStr">
        <is>
          <t>Greek (Athena) / cf. Roman Minerva</t>
        </is>
      </c>
      <c r="F51" s="94" t="inlineStr">
        <is>
          <t>Athena / Pallas — virgin patron of Athens; wisdom, craft, strategic war; born from Zeus's head</t>
        </is>
      </c>
      <c r="G51" s="94" t="inlineStr">
        <is>
          <t>Zeus swallows the pregnant Metis ('wiser than all gods') to forestall a prophesied son who would overthrow him; Athena is born fully armed from his head. Virgin (Parthenos), patron of Athens, protector of kings, champion of male heroes; in the Eumenides she casts the deciding vote acquitting the matricide Orestes and tames the Furies into civic goddesses.</t>
        </is>
      </c>
      <c r="H51" s="94" t="inlineStr">
        <is>
          <t>Female intelligence (Metis) is ingested by the sovereign and reissued as a motherless, armed daughter loyal to the throne. She is power authored to serve the order, not a power the order had to subdue — the de-sexualized inverse of Inanna.</t>
        </is>
      </c>
      <c r="I51" s="94" t="inlineStr">
        <is>
          <t>CO-OPTION at the limit — and she becomes its agent. The Metis-swallowing narrates the ORIGIN of co-option (sovereign absorbs female cunning); in the Eumenides she enacts it: votes 'for the male,' founds the Areopagus court, converts the old female Furies into tamed civic goddesses. Capture so complete it turns constitutive.</t>
        </is>
      </c>
      <c r="J51" s="94" t="inlineStr">
        <is>
          <t>Metis persists inside Zeus as his 'wise counsel' (Metieta); the Furies survive as the honored Semnai Theoi — old female power not destroyed but subordinated and incorporated. The remainder is the absorbed thing still working under new management.</t>
        </is>
      </c>
      <c r="K51" s="94" t="inlineStr">
        <is>
          <t>Inanna/Ishtar (UF-001, harnessed-sexuality pole); Kali (UF-002, uncontained pole); cf. sovereign-deputy (OO-01); Minerva (Roman, lossy)</t>
        </is>
      </c>
      <c r="L51" s="94" t="inlineStr">
        <is>
          <t>Tier 1-2</t>
        </is>
      </c>
      <c r="M51" s="94" t="inlineStr">
        <is>
          <t>Sourced (this pass)</t>
        </is>
      </c>
      <c r="N51" s="94" t="inlineStr">
        <is>
          <t>SPECTRUM within UF-01: Athena is the CONSTITUTED/manufactured pole (authored pre-harnessed) vs Inanna the HARNESSED-autonomy pole (a real sovereign goddess later co-opted) vs Kali the UNCONTAINED pole (not co-opted at all). Arguably the cluster's self-portrait: a co-opted figure who becomes an AGENT of co-option (tames the Furies). OO-01 adjacency is real (sovereign's deputy). Don't read her as a 'suppressed goddess' — her elevation IS the capture. Keep Athena=Minerva marked.</t>
        </is>
      </c>
      <c r="O51" s="94" t="inlineStr">
        <is>
          <t>MFM §8-9 (feminine under capture / co-option); PF §1, §3 (capture, embedded remainder)</t>
        </is>
      </c>
      <c r="P51" s="94" t="inlineStr">
        <is>
          <t>Hesiod, Theogony 886-900, 924-929 (Metis swallowed; birth from head); Aeschylus, Eumenides (the vote; 'no mother bore me / I honor the male'; Areopagus founding; Furies -&gt; Semnai Theoi); Apollodorus, Bibliotheca 1.20; Parthenon east-pediment birth scene; Tier-3 lead: Linear B a-ta-na potnia (Knossos)</t>
        </is>
      </c>
      <c r="Q51" s="94" t="inlineStr">
        <is>
          <t>Theogony Metis-swallowing + head-birth lines; Eumenides Athena's vote-speech + the Furies' transformation; Apollo's 'mother is not the true parent' argument</t>
        </is>
      </c>
      <c r="R51" s="94" t="inlineStr">
        <is>
          <t>R.P. Winnington-Ingram, 'Clytemnestra and the Vote of Athena,' JHS 68 (1948); Froma Zeitlin, 'The Dynamics of Misogyny: Myth and Mythmaking in the Oresteia,' Arethusa 11 (1978) — VERIFY; Detienne &amp; Vernant, Cunning Intelligence in Greek Culture and Society (Metis)</t>
        </is>
      </c>
      <c r="S51" s="94" t="inlineStr">
        <is>
          <t>MR-01 (run, below) + MR-04 (boundary: OO-01 vs UF-01)</t>
        </is>
      </c>
      <c r="T51" s="94" t="inlineStr">
        <is>
          <t>MR-01: Tier 1 for the events (Metis/birth, the Eumenides vote, virgin patron). Strongest, most textually explicit UF-01 row — and the cluster's self-portrait: the Metis myth narrates the ORIGIN of co-option, and in the Eumenides she becomes its agent (co-opts the Furies). Distinction within UF-01: constituted (Athena) vs harnessed-autonomy (Inanna) vs uncontained (Kali). Hold the Eumenides DUAL reading: founding of jury-law AND naturalization of father-right. Tier-3 caveat: no autonomous pre-patriarchal Athena as fact.</t>
        </is>
      </c>
      <c r="U51" s="94" t="inlineStr">
        <is>
          <t>HIGH if read as 'suppressed/demonized goddess' — she was venerated; her elevation IS the capture. Don't assert a pre-patriarchal Minoan/Mycenaean autonomous Athena (Linear B a-ta-na is a lead, not proof — Tier 3). The 'I honor the male' line is Aeschylus's dramatic argument; the play also reads as rule-of-law founding. Don't flatten Athena=Minerva.</t>
        </is>
      </c>
      <c r="V51" s="94" t="inlineStr">
        <is>
          <t>Pull Theogony + Eumenides passages; confirm Zeitlin cite; decide whether UF-01 needs a sub-tag for the constituted/harnessed/uncontained spectrum; consider OO-01 cross-link</t>
        </is>
      </c>
      <c r="W51" s="94" t="inlineStr">
        <is>
          <t>theoi.com/Olympios/AthenaMyths (Hesiod); cambridge.org JHS 'Clytemnestra and the Vote of Athena'; en.wikipedia.org/wiki/Metis_(mythology)</t>
        </is>
      </c>
      <c r="X51" s="94" t="inlineStr">
        <is>
          <t>2026-06-14</t>
        </is>
      </c>
      <c r="Y51" s="86" t="inlineStr">
        <is>
          <t>Tier 1</t>
        </is>
      </c>
      <c r="Z51" s="86" t="inlineStr">
        <is>
          <t>Tier 2</t>
        </is>
      </c>
      <c r="AA51" s="106" t="inlineStr">
        <is>
          <t>Supportive</t>
        </is>
      </c>
      <c r="AB51" s="86" t="n"/>
      <c r="AC51" s="86" t="inlineStr">
        <is>
          <t>Not yet tested</t>
        </is>
      </c>
      <c r="AD51" s="86" t="n"/>
      <c r="AE51" s="105" t="inlineStr">
        <is>
          <t>Mixed — separate layers</t>
        </is>
      </c>
      <c r="AF51" s="105" t="inlineStr">
        <is>
          <t>Metis birth and Eumenides court belong to different texts. Athena is not herself a pre-office rebel captured by promotion.</t>
        </is>
      </c>
      <c r="AG51" s="105" t="inlineStr">
        <is>
          <t>AD-01</t>
        </is>
      </c>
    </row>
    <row r="52" ht="283.5" customHeight="1" s="61">
      <c r="A52" s="94" t="inlineStr">
        <is>
          <t>UF-004</t>
        </is>
      </c>
      <c r="B52" s="94" t="inlineStr">
        <is>
          <t>UF-01</t>
        </is>
      </c>
      <c r="C52" s="94" t="inlineStr">
        <is>
          <t>Uncontained / Co-opted Feminine</t>
        </is>
      </c>
      <c r="D52" s="94" t="inlineStr">
        <is>
          <t>constituted</t>
        </is>
      </c>
      <c r="E52" s="94" t="inlineStr">
        <is>
          <t>Hindu (Shakta) / pan-Indian; Devi Mahatmya</t>
        </is>
      </c>
      <c r="F52" s="94" t="inlineStr">
        <is>
          <t>Durga / Mahishasuramardini — warrior goddess assembled from the pooled energy of the male gods to kill the buffalo-demon Mahishasura, whom no man or male god could defeat.</t>
        </is>
      </c>
      <c r="G52" s="94" t="inlineStr">
        <is>
          <t>Mahishasura wins a boon (no man / no male god can kill him), routs the devas, seizes heaven. The gods fail individually; they pool their tejas (radiance) into one blaze from which Durga emerges — ten-armed, lion-mounted, each god handing her his own weapon. She matches the shape-shifting demon form for form and beheads him.</t>
        </is>
      </c>
      <c r="H52" s="94" t="inlineStr">
        <is>
          <t>The dominant coalition meets an opponent it structurally cannot beat with its own (male-coded) tools, so it manufactures a specialist from outside its own ranks, equips her from the collective arsenal, and points her at the threat. The boon's blind spot — it never imagined feminine power — is exactly the gap the coalition exploits. Power outsourced to the category the rulers discounted.</t>
        </is>
      </c>
      <c r="I52" s="94" t="inlineStr">
        <is>
          <t>The made-for-purpose instrument is folded back under the pantheon's authority: she acts 'for' the gods, her victory restores THEIR heaven, and the framing keeps her derivative of them (their combined Shakti) even as she does what they could not.</t>
        </is>
      </c>
      <c r="J52" s="94" t="inlineStr">
        <is>
          <t>The theology refuses the containment. In Shaktism she is read not as the gods' tool but as Adi Shakti, the primordial power the gods are themselves expressions of — 'both a derivative of the male divinities and the true source of their inner power... greater than any of them' (Britannica). She is also notably not a consort: independent, unsplit.</t>
        </is>
      </c>
      <c r="K52" s="94" t="inlineStr">
        <is>
          <t>Athena (UF-003, manufactured war-goddess of the male sovereign); Kali (UF-002, emerges from Durga's own brow); Inanna (UF-001)</t>
        </is>
      </c>
      <c r="L52" s="94" t="inlineStr">
        <is>
          <t>Tier 1-2</t>
        </is>
      </c>
      <c r="M52" s="94" t="inlineStr">
        <is>
          <t>Sourced (this pass)</t>
        </is>
      </c>
      <c r="N52" s="94" t="inlineStr">
        <is>
          <t>APPROPRIATION CAUTION — living Hindu tradition. The 'constituted' tag captures the Devi Mahatmya assembly-narrative ONLY; it is not the tradition's own verdict, which inverts it (Devi as supreme). Do not flatten supreme-Devi theology into 'tool the gods built.'</t>
        </is>
      </c>
      <c r="O52" s="94" t="inlineStr">
        <is>
          <t>MFM §9 (co-opted feminine); PF §1, §3 (capture, framing). Sub-type pairs with Athena (constituted).</t>
        </is>
      </c>
      <c r="P52" s="94" t="inlineStr">
        <is>
          <t>Devi Mahatmya / Durga Saptashati (Markandeya Purana, chs 81-93), 5th-6th c. CE — Mahishasura episode (tejas-assembly, arming, slaying).</t>
        </is>
      </c>
      <c r="Q52" s="94" t="inlineStr">
        <is>
          <t>Devi Mahatmya ch. 2 (assembly from combined tejas; each god's weapon) through ch. 3 (slaying of Mahishasura); the boon-of-Brahma frame.</t>
        </is>
      </c>
      <c r="R52" s="94" t="inlineStr">
        <is>
          <t>Britannica s.v. 'Durga' (derivative-yet-source formulation); Coburn, 'Devi-Mahatmya: The Crystallization of the Goddess Tradition' (1984); Coburn, 'Encountering the Goddess' (1991).</t>
        </is>
      </c>
      <c r="S52" s="94" t="inlineStr">
        <is>
          <t>Does the constituted reading survive the Shakta inversion? Test whether 'gods assemble her' is the load-bearing narrative or a frame the theology overrides; check that appropriation-caution is honored.</t>
        </is>
      </c>
      <c r="T52" s="94" t="n"/>
      <c r="U52" s="94" t="inlineStr">
        <is>
          <t>HIGH if the assembly-narrative is presented as the meaning of Durga while ignoring the equally-textual supreme-Devi theology — that is both bad reading and appropriation. The inversion is the row's load-bearing caveat.</t>
        </is>
      </c>
      <c r="V52" s="94" t="inlineStr">
        <is>
          <t>Pull Devi Mahatmya ch. 2-3 verse refs (Coburn translation); confirm dating; keep Shakta-supremacy framing visible alongside the constituted tag.</t>
        </is>
      </c>
      <c r="W52" s="94" t="inlineStr">
        <is>
          <t>en.wikipedia.org/wiki/Mahishasura; britannica.com/topic/Durga (Devi Mahatmya, Markandeya Purana chs 81-93)</t>
        </is>
      </c>
      <c r="X52" s="94" t="inlineStr">
        <is>
          <t>2026-06-14</t>
        </is>
      </c>
      <c r="Y52" s="86" t="inlineStr">
        <is>
          <t>Tier 1</t>
        </is>
      </c>
      <c r="Z52" s="86" t="inlineStr">
        <is>
          <t>Tier 2</t>
        </is>
      </c>
      <c r="AA52" s="106" t="inlineStr">
        <is>
          <t>Supportive</t>
        </is>
      </c>
      <c r="AB52" s="86" t="n"/>
      <c r="AC52" s="86" t="inlineStr">
        <is>
          <t>Not yet tested</t>
        </is>
      </c>
      <c r="AD52" s="86" t="n"/>
      <c r="AE52" s="105" t="inlineStr">
        <is>
          <t>Legacy — not yet tagged</t>
        </is>
      </c>
      <c r="AF52" s="105" t="n"/>
      <c r="AG52" s="105" t="n"/>
    </row>
    <row r="53" ht="283.5" customHeight="1" s="61">
      <c r="A53" s="94" t="inlineStr">
        <is>
          <t>UF-005</t>
        </is>
      </c>
      <c r="B53" s="94" t="inlineStr">
        <is>
          <t>UF-01</t>
        </is>
      </c>
      <c r="C53" s="94" t="inlineStr">
        <is>
          <t>Uncontained / Co-opted Feminine</t>
        </is>
      </c>
      <c r="D53" s="94" t="inlineStr">
        <is>
          <t>uncontained</t>
        </is>
      </c>
      <c r="E53" s="94" t="inlineStr">
        <is>
          <t>Ancient Egyptian (New Kingdom); Book of the Heavenly Cow</t>
        </is>
      </c>
      <c r="F53" s="94" t="inlineStr">
        <is>
          <t>Sekhmet — lioness 'Eye of Ra,' deployed by the sun-god to punish rebellious humanity, whose bloodlust exceeds his control and must be tricked into stopping with blood-red beer.</t>
        </is>
      </c>
      <c r="G53" s="94" t="inlineStr">
        <is>
          <t>Aging Ra learns humanity is plotting against him; on the gods' counsel he sends his Eye (Hathor) to punish them. She slaughters them, becomes the lioness Sekhmet, and is seized by rage that will not stop. Ra repents (he still means to rule them) and orders her to halt, but she will not. He floods the fields with 7,000 jars of ochre-reddened beer; she drinks it for blood, falls drunk, and is led back pacified.</t>
        </is>
      </c>
      <c r="H53" s="94" t="inlineStr">
        <is>
          <t>The sovereign deploys a detachable enforcer against an internal revolt, and the enforcer's violence overruns the political objective: the ruler wants the rebellion crushed but the population kept; the weapon wants only to kill. Deterrence becomes its own runaway — the instrument whose interests diverge from the principal who unleashed it.</t>
        </is>
      </c>
      <c r="I53" s="94" t="inlineStr">
        <is>
          <t>Containment is reasserted not by overpowering her but by DECEPTION and ritual management — the priesthood's specialty. The annual feast re-enacts the pacification (red beer) every year: the uncontrollable is administered through recurring ceremony, and her violence is rebranded as protection ('destroyer of rebellion,' tied to kingship).</t>
        </is>
      </c>
      <c r="J53" s="94" t="inlineStr">
        <is>
          <t>The myth itself records that the sovereign LOST control — the trick is an admission that raw force could not be commanded back. Egyptologists frame the Eye as the 'Distant Goddess' who escapes his control to wreak havoc before being forced to return: the escape is canonical, not a flaw in the telling. A variant has her storm off offended at the deception, dimming the sun until Thoth coaxes her home.</t>
        </is>
      </c>
      <c r="K53" s="94" t="inlineStr">
        <is>
          <t>Kali (UF-002, the uncontainable that is no one's weapon); Inanna (UF-001); cf. Ishtar's descent (power that withdraws and destabilizes the order)</t>
        </is>
      </c>
      <c r="L53" s="94" t="inlineStr">
        <is>
          <t>Tier 1-2</t>
        </is>
      </c>
      <c r="M53" s="94" t="inlineStr">
        <is>
          <t>Sourced (this pass)</t>
        </is>
      </c>
      <c r="N53" s="94" t="inlineStr">
        <is>
          <t>Distinct flavor of 'uncontained' from Kali: Sekhmet is DEPLOYED (Ra's weapon) and then overflows — co-option's failure mode — whereas Kali is uncontained from the outset and instrumentalized by no one. Keep the distinction in the sub-type note; do not collapse them.</t>
        </is>
      </c>
      <c r="O53" s="94" t="inlineStr">
        <is>
          <t>MFM §9 (co-opted / uncontained feminine); PF §1 (capture), §3 (administered remainder). Sub-type = uncontained (deployed-and-overflows variant).</t>
        </is>
      </c>
      <c r="P53" s="94" t="inlineStr">
        <is>
          <t>Book of the Heavenly Cow ('The Destruction of Mankind'), inscribed in New Kingdom royal tombs — Tutankhamun (KV62 outer shrine), Seti I, Ramesses II / III / VI.</t>
        </is>
      </c>
      <c r="Q53" s="94" t="inlineStr">
        <is>
          <t>BHC opening through the red-beer pacification; the 'Send out your Eye' counsel; the 7,000 jars / Elephantine red-ochre passage.</t>
        </is>
      </c>
      <c r="R53" s="94" t="inlineStr">
        <is>
          <t>World History Encyclopedia, 'Book of the Heavenly Cow' (Distant Goddess typology); Hornung, 'Conceptions of God in Ancient Egypt'; Lichtheim, 'Ancient Egyptian Literature' Vol. II.</t>
        </is>
      </c>
      <c r="S53" s="94" t="inlineStr">
        <is>
          <t>Is the 'overflow / failure-of-control' reading textual or imposed? Verify Ra's recall attempt and her refusal are in the source; confirm the Distant-Goddess framing is standard Egyptology, not a stretch.</t>
        </is>
      </c>
      <c r="T53" s="94" t="n"/>
      <c r="U53" s="94" t="inlineStr">
        <is>
          <t>MODERATE — the text is explicit about deployment, overflow, and trickery, so the read is well-grounded; risk is over-psychologizing the goddess or treating the 'Eye' as a single stable deity rather than a role (Hathor / Sekhmet / others fill it).</t>
        </is>
      </c>
      <c r="V53" s="94" t="inlineStr">
        <is>
          <t>Pull BHC lines (Lichtheim or Hornung edition); note the Bast / Sekhmet Lower/Upper-Egypt pairing; confirm the kingship-association cite.</t>
        </is>
      </c>
      <c r="W53" s="94" t="inlineStr">
        <is>
          <t>worldhistory.org/Book_of_the_Heavenly_Cow; the-past.com 'Book of the Heavenly Cow' (BHC, NK royal tombs)</t>
        </is>
      </c>
      <c r="X53" s="94" t="inlineStr">
        <is>
          <t>2026-06-14</t>
        </is>
      </c>
      <c r="Y53" s="86" t="inlineStr">
        <is>
          <t>Tier 1</t>
        </is>
      </c>
      <c r="Z53" s="86" t="inlineStr">
        <is>
          <t>Tier 1-2</t>
        </is>
      </c>
      <c r="AA53" s="104" t="inlineStr">
        <is>
          <t>Load-bearing</t>
        </is>
      </c>
      <c r="AB53" s="86" t="n"/>
      <c r="AC53" s="86" t="inlineStr">
        <is>
          <t>Not yet tested</t>
        </is>
      </c>
      <c r="AD53" s="86" t="n"/>
      <c r="AE53" s="105" t="inlineStr">
        <is>
          <t>Legacy — not yet tagged</t>
        </is>
      </c>
      <c r="AF53" s="105" t="n"/>
      <c r="AG53" s="105" t="n"/>
    </row>
    <row r="54" ht="283.5" customHeight="1" s="61">
      <c r="A54" s="94" t="inlineStr">
        <is>
          <t>UF-006</t>
        </is>
      </c>
      <c r="B54" s="94" t="inlineStr">
        <is>
          <t>UF-01</t>
        </is>
      </c>
      <c r="C54" s="94" t="inlineStr">
        <is>
          <t>Uncontained / Co-opted Feminine</t>
        </is>
      </c>
      <c r="D54" s="94" t="inlineStr">
        <is>
          <t>harnessed-autonomy</t>
        </is>
      </c>
      <c r="E54" s="94" t="inlineStr">
        <is>
          <t>Phrygian / Anatolian -&gt; Roman (Magna Mater); historical import 204 BCE</t>
        </is>
      </c>
      <c r="F54" s="94" t="inlineStr">
        <is>
          <t>Cybele / Magna Mater — Anatolian Great Mother imported to Rome by act of state during the war with Hannibal, reinvented as an ancestral Trojan goddess, her ecstatic wildness then fenced off by law.</t>
        </is>
      </c>
      <c r="G54" s="94" t="inlineStr">
        <is>
          <t>With Hannibal in Italy and prodigies reported (stone-showers, failed harvest, 205 BCE), the Senate consulted the Sibylline Books, which said an 'Idaean mother of Pessinus' would free Italy. In 204 BCE her black meteorite was carried from Asia Minor to the Palatine and Rome adopted her as a state goddess; Hannibal soon withdrew. Her eunuch priests (galli) imitated Attis's self-castration in ecstatic public rites.</t>
        </is>
      </c>
      <c r="H54" s="94" t="inlineStr">
        <is>
          <t>A polity under existential threat reaches OUTSIDE its own pantheon and imports a foreign source of power for raison d'etat — then domesticates it: rewrites her as 'ours / ancestral' (Trojan, via Aeneas) to launder the foreignness, and quarantines the parts that threaten the social order (citizen bodies). Adopt the power, regulate the wildness, claim the lineage.</t>
        </is>
      </c>
      <c r="I54" s="94" t="inlineStr">
        <is>
          <t>Textbook capture-and-canonize: the state installs the cult officially (temple, calendar, the Megalensia games) while drawing a hard line around its dangerous core — freeborn Roman citizens are barred from becoming galli, a senate decree restricts the begging processions, and Augustus enshrines a law against castration. The power is licensed; the ecstasy is confined to non-citizens and managed festival days.</t>
        </is>
      </c>
      <c r="J54" s="94" t="inlineStr">
        <is>
          <t>The wildness never fully assimilates. The galli persist as a standing scandal (Catullus 63 dramatizes Attis's self-mutilation and gender-ambiguity), and Greek and Roman writers keep debating the cult's morality. The regulation is itself the evidence that something un-Roman and uncontainable was being held at arm's length.</t>
        </is>
      </c>
      <c r="K54" s="94" t="inlineStr">
        <is>
          <t>Inanna (UF-001 — and her gala priests, plausibly cognate to the galli); Attis (the dying-and-rising consort); cf. Dionysus (imported ecstatic cult, similarly regulated)</t>
        </is>
      </c>
      <c r="L54" s="94" t="inlineStr">
        <is>
          <t>Tier 1-2</t>
        </is>
      </c>
      <c r="M54" s="94" t="inlineStr">
        <is>
          <t>Sourced (this pass)</t>
        </is>
      </c>
      <c r="N54" s="94" t="inlineStr">
        <is>
          <t>Best-documented case in the cluster — datable political history (Livy, Cicero), not myth-internal inference. The 'what happened' is solidly Tier 1; the 'why = harness-and-regulate' is Tier 2 but rests on documented restrictions. Sub-type pairs with Inanna (harnessed-autonomy) via a different mechanism: state import + cultic regulation vs sacred-marriage legitimation.</t>
        </is>
      </c>
      <c r="O54" s="94" t="inlineStr">
        <is>
          <t>MFM §9 (co-opted feminine); PF §1 (capture), §2 (canonize), §4 (enforce). Sub-type = harnessed-autonomy.</t>
        </is>
      </c>
      <c r="P54" s="94" t="inlineStr">
        <is>
          <t>Livy, Ab Urbe Condita 29.10-14 (the import); Ovid, Fasti 4.179-372 (Megalensia, the stone, the procession); Catullus 63 (Attis).</t>
        </is>
      </c>
      <c r="Q54" s="94" t="inlineStr">
        <is>
          <t>Livy 29.10-11 (Sibylline consult, embassy to Pergamon / Pessinus, reception of the stone); the senate decree barring citizen galli; the Augustan castration ban.</t>
        </is>
      </c>
      <c r="R54" s="94" t="inlineStr">
        <is>
          <t>Lynn Roller, 'In Search of God the Mother: The Cult of Anatolian Cybele' (1999); Mary Beard, 'The Roman and the Foreign'; Beard/North/Price, 'Religions of Rome' Vol. I.</t>
        </is>
      </c>
      <c r="S54" s="94" t="inlineStr">
        <is>
          <t>Are the citizen-restriction and castration-law claims firmly attested (which sources, how late)? Distinguish securely-dated facts (204 BCE import) from contested specifics (restriction wording, its date). Confirm the Trojan-reinvention point.</t>
        </is>
      </c>
      <c r="T54" s="94" t="n"/>
      <c r="U54" s="94" t="inlineStr">
        <is>
          <t>LOW-MODERATE on the history (well attested); MODERATE on specifics — some restriction details come from later sources and should be dated, not flattened into 'Rome immediately fenced her off.' The gala&lt;-&gt;galli etymology is 'plausible, not conclusive' (Wikipedia): flag Tier 3, do not assert.</t>
        </is>
      </c>
      <c r="V54" s="94" t="inlineStr">
        <is>
          <t>Pull Livy 29.10-14 + Ovid Fasti 4 line refs; date the citizen-gallus restriction and Augustan law precisely; mark the gala&lt;-&gt;galli link as Tier 3.</t>
        </is>
      </c>
      <c r="W54" s="94" t="inlineStr">
        <is>
          <t>en.wikipedia.org/wiki/Cybele; en.wikipedia.org/wiki/Galli (Livy 29.10-14; Ovid Fasti 4)</t>
        </is>
      </c>
      <c r="X54" s="94" t="inlineStr">
        <is>
          <t>2026-06-14</t>
        </is>
      </c>
      <c r="Y54" s="86" t="inlineStr">
        <is>
          <t>Tier 1</t>
        </is>
      </c>
      <c r="Z54" s="86" t="inlineStr">
        <is>
          <t>Tier 1-2</t>
        </is>
      </c>
      <c r="AA54" s="104" t="inlineStr">
        <is>
          <t>Load-bearing</t>
        </is>
      </c>
      <c r="AB54" s="86" t="n"/>
      <c r="AC54" s="86" t="inlineStr">
        <is>
          <t>Not yet tested</t>
        </is>
      </c>
      <c r="AD54" s="86" t="n"/>
      <c r="AE54" s="105" t="inlineStr">
        <is>
          <t>Legacy — not yet tagged</t>
        </is>
      </c>
      <c r="AF54" s="105" t="n"/>
      <c r="AG54" s="105" t="n"/>
    </row>
    <row r="55" ht="283.5" customHeight="1" s="61">
      <c r="A55" s="94" t="inlineStr">
        <is>
          <t>DV-001</t>
        </is>
      </c>
      <c r="B55" s="94" t="inlineStr">
        <is>
          <t>DV-01</t>
        </is>
      </c>
      <c r="C55" s="94" t="inlineStr">
        <is>
          <t>Divination / Gatekeeping the Divine Will</t>
        </is>
      </c>
      <c r="D55" s="94" t="inlineStr">
        <is>
          <t>binary-query</t>
        </is>
      </c>
      <c r="E55" s="94" t="inlineStr">
        <is>
          <t>Babylonian / Assyrian (Akkadian); 1st-millennium BCE</t>
        </is>
      </c>
      <c r="F55" s="94" t="inlineStr">
        <is>
          <t>The tamītu oracle-query — the gods' verdicts obtainable only through a credentialed diviner who frames an exact yes/no question and reads the answer in a sacrificed animal's entrails (extispicy).</t>
        </is>
      </c>
      <c r="G55" s="94" t="inlineStr">
        <is>
          <t>A tamītu is a formal yes/no question put jointly to Shamash (sun-god of justice) and Adad (storm-god), the gods 'of the verdict.' Because the answer is binary, a professional diviner (bārû) had to frame the query with exhaustive precision — naming the person, the timeframe, every contingency — then perform the rite and read the verdict in the liver and entrails of a sacrificed sheep. The corpus (Lambert's edition, 54 tablets/fragments) preserves royal campaign questions, succession questions, even a husband's query about a wife's fidelity.</t>
        </is>
      </c>
      <c r="H55" s="94" t="inlineStr">
        <is>
          <t>Whoever runs the channel to the divine runs the relationship. A layperson cannot even ASK correctly — the rite and the exact wording are the diviner's expertise — so the bārû is an unavoidable intermediary between the king and the gods' approval. The technical difficulty of the procedure is itself the gatekeeping: the harder the channel is to operate, the more indispensable its operator.</t>
        </is>
      </c>
      <c r="I55" s="94" t="inlineStr">
        <is>
          <t>The mandatory-interpreter mechanism in its most procedural form. Divine will is real and consequential (you do not march, marry, or crown without it), but it is accessible only through a credentialed technician performing an exact ritual — the signal is routed through a gate only the diviner can open. Sub-type binary-query: the answer is reduced to yes/no, which makes the diviner's framing of the question the place where all the real power sits.</t>
        </is>
      </c>
      <c r="J55" s="94" t="inlineStr">
        <is>
          <t>The record itself — the queries preserve unusually candid detail (a king's full battle plan, a husband's suspicion) because the case had to be stated exactly for the gods. What survives is a snapshot of what people most needed to know and could not control, fossilized in the very form of the question.</t>
        </is>
      </c>
      <c r="K55" s="94" t="inlineStr">
        <is>
          <t>Within the cluster: Delphi (DV-002), Roman augury (DV-003), Shang oracle bones (DV-004). Mesopotamian extispicy generally; cf. Urim &amp; Thummim / the oracular ephod (Israelite binary divination).</t>
        </is>
      </c>
      <c r="L55" s="94" t="inlineStr">
        <is>
          <t>Tier 1-2</t>
        </is>
      </c>
      <c r="M55" s="94" t="inlineStr">
        <is>
          <t>Sourced</t>
        </is>
      </c>
      <c r="N55" s="94" t="inlineStr">
        <is>
          <t>Now the Mesopotamian ANCHOR of the divination cluster (relocated from CC-01, where it was always flagged as the loose fit — a divination genre, not a covenant). The tamītu texts are well-edited (Lambert); the priesthood-function reading is the interpretive layer. The bārû genuinely believed the gods answered — the lens describes the STRUCTURE (a credentialed gate on divine will), not an accusation of fraud (analyze the function, not the operator).</t>
        </is>
      </c>
      <c r="O55" s="94" t="inlineStr">
        <is>
          <t>DV-01 founding case — divination as the mandatory-interpreter gate. PF SS1 (capture: the signal routed through a credentialed channel). Sub-type = binary-query.</t>
        </is>
      </c>
      <c r="P55" s="94" t="inlineStr">
        <is>
          <t>tamītu corpus — W.G. Lambert, 'Babylonian Oracle Questions' (Mesopotamian Civilizations 13, 2007), 54 tablets/fragments; 1st-millennium BCE (some 2nd-millennium).</t>
        </is>
      </c>
      <c r="Q55" s="94" t="inlineStr">
        <is>
          <t>Representative tamiātu (royal campaign queries; the 'is my wife truthful' query); the extispicy prayer to Shamash (asking that an oracle be given as the answer).</t>
        </is>
      </c>
      <c r="R55" s="94" t="inlineStr">
        <is>
          <t>W.G. Lambert, 'Babylonian Oracle Questions' (2007); Ulla Koch, 'Mesopotamian Divination Texts'; Stefan Maul, 'The Art of Divination in the Ancient Near East.'</t>
        </is>
      </c>
      <c r="S55" s="94" t="inlineStr">
        <is>
          <t>Confirm the diviner-monopoly + binary-answer facts (Lambert). Keep the 'structure not fraud' framing. The anchor of DV-01.</t>
        </is>
      </c>
      <c r="T55" s="94" t="n"/>
      <c r="U55" s="94" t="inlineStr">
        <is>
          <t>MODERATE — the texts are well-edited and the diviner-as-gate reading is well-supported; the risk is over-reading the diviners as cynical manipulators (most believed) rather than describing the structural monopoly. The binary-query structure is solid.</t>
        </is>
      </c>
      <c r="V55" s="94" t="inlineStr">
        <is>
          <t>Pull a sample tamītu from Lambert; cite Maul/Koch on the diviner's role; anchor the cross-cluster parallels (Delphi, Rome, Shang).</t>
        </is>
      </c>
      <c r="W55" s="94" t="inlineStr">
        <is>
          <t>eisenbrauns.org Babylonian Oracle Questions; thetorah.com 'Practice of Divination in the ANE' (Lambert 2007; tamītu corpus)</t>
        </is>
      </c>
      <c r="X55" s="94" t="inlineStr">
        <is>
          <t>2026-06-14</t>
        </is>
      </c>
      <c r="Y55" s="86" t="inlineStr">
        <is>
          <t>Tier 1</t>
        </is>
      </c>
      <c r="Z55" s="86" t="inlineStr">
        <is>
          <t>Tier 1-2</t>
        </is>
      </c>
      <c r="AA55" s="104" t="inlineStr">
        <is>
          <t>Load-bearing</t>
        </is>
      </c>
      <c r="AB55" s="86" t="n"/>
      <c r="AC55" s="86" t="inlineStr">
        <is>
          <t>Not yet tested</t>
        </is>
      </c>
      <c r="AD55" s="86" t="n"/>
      <c r="AE55" s="105" t="inlineStr">
        <is>
          <t>Legacy — not yet tagged</t>
        </is>
      </c>
      <c r="AF55" s="105" t="n"/>
      <c r="AG55" s="105" t="n"/>
    </row>
    <row r="56" ht="283.5" customHeight="1" s="61">
      <c r="A56" s="94" t="inlineStr">
        <is>
          <t>DV-002</t>
        </is>
      </c>
      <c r="B56" s="94" t="inlineStr">
        <is>
          <t>DV-01</t>
        </is>
      </c>
      <c r="C56" s="94" t="inlineStr">
        <is>
          <t>Divination / Gatekeeping the Divine Will</t>
        </is>
      </c>
      <c r="D56" s="94" t="inlineStr">
        <is>
          <t>ambiguous-utterance</t>
        </is>
      </c>
      <c r="E56" s="94" t="inlineStr">
        <is>
          <t>Greek; Delphi, oracle of Apollo (Archaic-Roman era)</t>
        </is>
      </c>
      <c r="F56" s="94" t="inlineStr">
        <is>
          <t>The Delphic oracle — Apollo's will spoken through the entranced Pythia in cryptic form, then shaped and interpreted by the temple priests; for over a millennium the most authoritative oracle in the Greek world.</t>
        </is>
      </c>
      <c r="G56" s="94" t="inlineStr">
        <is>
          <t>At the Temple of Apollo at Delphi, the Pythia — a priestess — sat on a tripod in the inner chamber (adyton), entered a trance, and uttered Apollo's responses to questions from individuals and city-states. Her words were famously cryptic; the temple priests recorded and edited them into hexameter verse, and they required interpretation. Leaders sought the oracle's approval before founding colonies, going to war, or making laws. Croesus of Lydia, told that if he attacked Persia 'a great empire would fall,' attacked — and destroyed his own; when he complained, the priestess answered that Apollo had foretold truly and could not be blamed if men interpreted to their own liking. Before Salamis, the Athenians were told they'd be saved by 'wooden walls,' which Themistocles read as the navy.</t>
        </is>
      </c>
      <c r="H56" s="94" t="inlineStr">
        <is>
          <t>Power flows to whoever controls the meaning of the god's words. The oracle's genius was AMBIGUITY: the Pythia speaks obscurely, the priests render it, and the response can be read several ways — which means the oracle is never wrong. Built-in deniability converts into permanent authority: outcomes confirm the oracle whatever happens (Croesus's empire was 'a great empire'). The institution accrued staggering wealth (cities built treasuries to display offerings) and steered colonization and war for a thousand years.</t>
        </is>
      </c>
      <c r="I56" s="94" t="inlineStr">
        <is>
          <t>The interpreter-gate with deniability engineered in. The signal (divine guidance) arrives deliberately equivocal and MUST be interpreted — by the priesthood, and after the fact by events — so the oracle's authority can never be falsified. Sub-type ambiguous-utterance: vagueness is not a bug but the mechanism that makes the mandatory interpreter unaccountable and indispensable.</t>
        </is>
      </c>
      <c r="J56" s="94" t="inlineStr">
        <is>
          <t>A model of how a prediction-institution survives being wrong — by never committing to a falsifiable claim. The famous responses (recorded by Herodotus and others) outlive the cult as proverbs about the danger of hearing what you want. What's enclosed: human deliberation about the gravest choices (war, colony, law) routed through a priestly chokepoint that took a cut, literal and political.</t>
        </is>
      </c>
      <c r="K56" s="94" t="inlineStr">
        <is>
          <t>Within: tamītu (DV-001), Roman augury (DV-003), Shang oracle bones (DV-004). Other Greek oracles (Dodona, Didyma); cf. modern unfalsifiable forecasting.</t>
        </is>
      </c>
      <c r="L56" s="94" t="inlineStr">
        <is>
          <t>Tier 1-2</t>
        </is>
      </c>
      <c r="M56" s="94" t="inlineStr">
        <is>
          <t>Sourced (this pass)</t>
        </is>
      </c>
      <c r="N56" s="94" t="inlineStr">
        <is>
          <t>The INSTITUTION (Pythia, priestly interpretation, the political/colonizing role, the treasuries, the 1000-year span) is well-attested; the famous individual responses (Croesus, 'wooden walls') come mainly from Herodotus and are part history, part shaped narrative — cite them as tradition, not transcript. The 'intoxicating fumes from a chasm' explanation is debated (a proposed ethylene/geology theory is contested); don't assert the trance's cause. Analyze the structure, not the sincerity of the Pythia.</t>
        </is>
      </c>
      <c r="O56" s="94" t="inlineStr">
        <is>
          <t>DV-01 — the AMBIGUOUS-UTTERANCE pole: the equivocal oracle that cannot be falsified. PF SS1-2. Sub-type = ambiguous-utterance.</t>
        </is>
      </c>
      <c r="P56" s="94" t="inlineStr">
        <is>
          <t>Herodotus, 'Histories' (Croesus 1.46-56; the 'wooden walls' 7.140-143); Plutarch's Delphic dialogues; the collected oracular responses (Parke &amp; Wormell catalogue).</t>
        </is>
      </c>
      <c r="Q56" s="94" t="inlineStr">
        <is>
          <t>Hdt. 1.53 (the 'great empire will fall' response) &amp; 1.91 (Apollo's self-defense to Croesus); Hdt. 7.141 ('wooden walls'); Plutarch, 'De Pythiae oraculis.'</t>
        </is>
      </c>
      <c r="R56" s="94" t="inlineStr">
        <is>
          <t>H.W. Parke &amp; D.E.W. Wormell, 'The Delphic Oracle' (1956); Joseph Fontenrose, 'The Delphic Oracle' (1978, skeptical re-examination); Michael Scott, 'Delphi' (2014).</t>
        </is>
      </c>
      <c r="S56" s="94" t="inlineStr">
        <is>
          <t>Is the ambiguous-utterance / unfalsifiability reading grounded, and are the Herodotus-as-tradition and contested-fumes caveats load-bearing? Keep the institution distinct from the legendary responses.</t>
        </is>
      </c>
      <c r="T56" s="94" t="n"/>
      <c r="U56" s="94" t="inlineStr">
        <is>
          <t>MODERATE — the institution and the ambiguity-mechanism are well-attested; the risks are (a) treating the legendary responses as verbatim history, and (b) asserting the contested physiological cause of the trance. The deniability-structure is solid.</t>
        </is>
      </c>
      <c r="V56" s="94" t="inlineStr">
        <is>
          <t>Pull Hdt. 1.53/1.91 + 7.141 and a Plutarch passage; cite Fontenrose on the responses' historicity; keep the fumes caveat.</t>
        </is>
      </c>
      <c r="W56" s="94" t="inlineStr">
        <is>
          <t>open.edu OpenLearn (Croesus/Themistocles at Delphi); thearchaeologist.org &amp; ancientmysteries.org (Pythia, priestly interpretation, ambiguity, political role)</t>
        </is>
      </c>
      <c r="X56" s="94" t="inlineStr">
        <is>
          <t>2026-06-14</t>
        </is>
      </c>
      <c r="Y56" s="86" t="inlineStr">
        <is>
          <t>Tier 1</t>
        </is>
      </c>
      <c r="Z56" s="86" t="inlineStr">
        <is>
          <t>Tier 1-2</t>
        </is>
      </c>
      <c r="AA56" s="106" t="inlineStr">
        <is>
          <t>Supportive</t>
        </is>
      </c>
      <c r="AB56" s="86" t="n"/>
      <c r="AC56" s="86" t="inlineStr">
        <is>
          <t>Not yet tested</t>
        </is>
      </c>
      <c r="AD56" s="86" t="n"/>
      <c r="AE56" s="105" t="inlineStr">
        <is>
          <t>Mixed — separate layers</t>
        </is>
      </c>
      <c r="AF56" s="105" t="inlineStr">
        <is>
          <t>Oracle traditions and literary responses vary; mediated signal does not by itself prove intentional censorship.</t>
        </is>
      </c>
      <c r="AG56" s="105" t="inlineStr">
        <is>
          <t>VA-01</t>
        </is>
      </c>
    </row>
    <row r="57" ht="283.5" customHeight="1" s="61">
      <c r="A57" s="94" t="inlineStr">
        <is>
          <t>DV-003</t>
        </is>
      </c>
      <c r="B57" s="94" t="inlineStr">
        <is>
          <t>DV-01</t>
        </is>
      </c>
      <c r="C57" s="94" t="inlineStr">
        <is>
          <t>Divination / Gatekeeping the Divine Will</t>
        </is>
      </c>
      <c r="D57" s="94" t="inlineStr">
        <is>
          <t>state-veto</t>
        </is>
      </c>
      <c r="E57" s="94" t="inlineStr">
        <is>
          <t>Roman (and Etruscan); Republic &amp; Empire</t>
        </is>
      </c>
      <c r="F57" s="94" t="inlineStr">
        <is>
          <t>Roman state divination — the augurs reading bird-signs and the haruspices reading entrails (a liver-craft learned from the Etruscans) to certify or block public acts; divination as the procedural gate on the Roman state.</t>
        </is>
      </c>
      <c r="G57" s="94" t="inlineStr">
        <is>
          <t>No major public business — assemblies, elections, legislation, a magistrate taking office, an army marching — could proceed in Rome without favorable auspices. The college of augurs 'took the auspices' (watching birds within a ritually-defined templum); haruspices read the liver and entrails of sacrificed animals (the liver mapped as a microcosm of the cosmos to the gods — see the bronze Liver of Piacenza). Unfavorable signs could LEGALLY delay or reverse decisions; through obnuntiatio a magistrate could announce adverse omens to suspend public business, and contested auspices could void an act after the fact (in 163 BCE a consul's forgotten auspice retroactively invalidated an election). Cicero, himself an augur, wrote a skeptical examination of it all ('On Divination').</t>
        </is>
      </c>
      <c r="H57" s="94" t="inlineStr">
        <is>
          <t>This is divination weaponized as institutional VETO. The augurs functioned 'less as a means of predicting the future and more as a system for regulating action' — a religious chokepoint wired directly into politics, the military, and legitimacy. And it was manipulable: politically motivated augurs could fabricate unfavorable omens to delay an election they disliked. Whoever can declare the gods displeased can stop the state.</t>
        </is>
      </c>
      <c r="I57" s="94" t="inlineStr">
        <is>
          <t>The interpreter as state-gatekeeper. Divine consent is procedurally required for public action, and only the priestly colleges can certify it — so the augural reading is a switch that turns the legitimate state on or off. Sub-type state-veto: the divination's content barely matters; what matters is the institutional power to validate or annul, held by a credentialed college.</t>
        </is>
      </c>
      <c r="J57" s="94" t="inlineStr">
        <is>
          <t>The bare machinery of legitimacy-by-divine-consent — and the candid Roman awareness that it was machinery (Cicero's skepticism; the old jab that two haruspices could hardly look at each other without laughing). The form persisted as a control-mechanism even as belief thinned: proof that the priesthood-function can outlive the faith that founded it, surviving as pure procedure.</t>
        </is>
      </c>
      <c r="K57" s="94" t="inlineStr">
        <is>
          <t>Within: tamītu (DV-001), Delphi (DV-002), Shang oracle bones (DV-004). Etruscan disciplina; cf. any procedural 'sign-off' that gates state power.</t>
        </is>
      </c>
      <c r="L57" s="94" t="inlineStr">
        <is>
          <t>Tier 1-2</t>
        </is>
      </c>
      <c r="M57" s="94" t="inlineStr">
        <is>
          <t>Sourced (this pass)</t>
        </is>
      </c>
      <c r="N57" s="94" t="inlineStr">
        <is>
          <t>The political-procedural function (auspices required; obnuntiatio; invalidating elections) is very well-attested; the material anchor (the Etruscan Liver of Piacenza) is solid. Be precise: obnuntiatio = announcing adverse omens to OBSTRUCT business, not to obtain favorable ones. Cicero's 'De Divinatione' shows the Romans themselves debated whether any of it worked — so the row reads the political STRUCTURE, not a claim that the augurs (or their critics) were right about the gods.</t>
        </is>
      </c>
      <c r="O57" s="94" t="inlineStr">
        <is>
          <t>DV-01 — the STATE-VETO pole: divination as the procedural gate on public power. PF SS1-2. Sub-type = state-veto.</t>
        </is>
      </c>
      <c r="P57" s="94" t="inlineStr">
        <is>
          <t>Cicero, 'De Divinatione' &amp; 'De Natura Deorum'; Livy (auspices invalidating acts); the Etruscan Bronze Liver of Piacenza (c. 100 BCE).</t>
        </is>
      </c>
      <c r="Q57" s="94" t="inlineStr">
        <is>
          <t>Cicero, 'De Div.' 1-2 (the case for and against); the 163 BCE forgotten-auspice / invalidated-election episode; the Piacenza liver's god-mapped regions.</t>
        </is>
      </c>
      <c r="R57" s="94" t="inlineStr">
        <is>
          <t>Mary Beard, John North &amp; Simon Price, 'Religions of Rome' (1998); Jerzy Linderski, 'The Augural Law' (ANRW, 1986); Veit Rosenberger on Roman divination.</t>
        </is>
      </c>
      <c r="S57" s="94" t="inlineStr">
        <is>
          <t>Is the state-veto reading (auspices/obnuntiatio gating public acts) grounded, and is the Cicero-skepticism caveat load-bearing? Define obnuntiatio precisely. Keep structure distinct from truth-claim.</t>
        </is>
      </c>
      <c r="T57" s="94" t="n"/>
      <c r="U57" s="94" t="inlineStr">
        <is>
          <t>LOW-MODERATE on the political function (very well-documented); the risk is overstating how OFTEN it changed outcomes vs. served as ritual cover, and mis-defining the technical terms. The veto-structure is solid.</t>
        </is>
      </c>
      <c r="V57" s="94" t="inlineStr">
        <is>
          <t>Pull Cicero 'De Div.' framing + the 163 BCE Livy episode + a Piacenza-liver reference; cite Beard/North/Price and Linderski.</t>
        </is>
      </c>
      <c r="W57" s="94" t="inlineStr">
        <is>
          <t>en.wikipedia.org/wiki/Augur &amp; /Augury (auspices, obnuntiatio, college of augurs, Piacenza liver); unrv.com (auspices as regulation, haruspicy, pax deorum)</t>
        </is>
      </c>
      <c r="X57" s="94" t="inlineStr">
        <is>
          <t>2026-06-14</t>
        </is>
      </c>
      <c r="Y57" s="86" t="inlineStr">
        <is>
          <t>Tier 1</t>
        </is>
      </c>
      <c r="Z57" s="86" t="inlineStr">
        <is>
          <t>Tier 1</t>
        </is>
      </c>
      <c r="AA57" s="104" t="inlineStr">
        <is>
          <t>Load-bearing</t>
        </is>
      </c>
      <c r="AB57" s="86" t="n"/>
      <c r="AC57" s="86" t="inlineStr">
        <is>
          <t>Not yet tested</t>
        </is>
      </c>
      <c r="AD57" s="86" t="n"/>
      <c r="AE57" s="105" t="inlineStr">
        <is>
          <t>Legacy — not yet tagged</t>
        </is>
      </c>
      <c r="AF57" s="105" t="n"/>
      <c r="AG57" s="105" t="n"/>
    </row>
    <row r="58" ht="283.5" customHeight="1" s="61">
      <c r="A58" s="94" t="inlineStr">
        <is>
          <t>DV-004</t>
        </is>
      </c>
      <c r="B58" s="94" t="inlineStr">
        <is>
          <t>DV-01</t>
        </is>
      </c>
      <c r="C58" s="94" t="inlineStr">
        <is>
          <t>Divination / Gatekeeping the Divine Will</t>
        </is>
      </c>
      <c r="D58" s="94" t="inlineStr">
        <is>
          <t>royal-monopoly</t>
        </is>
      </c>
      <c r="E58" s="94" t="inlineStr">
        <is>
          <t>Chinese; Shang dynasty (c. 1250-1046 BCE), Yinxu/Anyang</t>
        </is>
      </c>
      <c r="F58" s="94" t="inlineStr">
        <is>
          <t>Shang oracle-bone divination (pyro-osteomancy) — the king as chief diviner cracking ox scapulae and turtle plastrons with a hot rod and reading the cracks to consult the ancestors and the high god Di; the practice that underpinned royal legitimacy and produced the earliest Chinese writing.</t>
        </is>
      </c>
      <c r="G58" s="94" t="inlineStr">
        <is>
          <t>Shang diviners (and increasingly the king himself) inscribed a question on a polished ox shoulder-blade or turtle plastron, applied a heated rod to drilled pits until hairline cracks formed, and read the cracks for the answer — often simply whether a day was auspicious (ji) or not (xiong). Questions covered sacrifices, war, harvest, weather, hunting, childbirth, even the cause of a royal toothache. A typical bone records the date and diviner, the charge (the proposition), the king's prognostication ('the king read the cracks and said: auspicious'), and sometimes the verification (what actually happened). Tens of thousands survive from the royal archives at Yinxu; their inscriptions are the oldest known Chinese script and even confirmed the Shang kings were historical.</t>
        </is>
      </c>
      <c r="H58" s="94" t="inlineStr">
        <is>
          <t>Divination here is not consulted by power — it IS the power. The Shang king is the chief priest who holds exclusive access to the ancestor cult that underpinned royal legitimacy; only he (or his diviners) can mediate between the living and the ancestors. By late Shang the king himself reads the cracks and pronounces the verdict — so the channel to the divine and the throne are the same office. To monopolize the ancestors is to monopolize legitimacy.</t>
        </is>
      </c>
      <c r="I58" s="94" t="inlineStr">
        <is>
          <t>The purest fusion of the interpreter and the ruler. Where Delphi's priests and Rome's augurs are intermediaries serving power, the Shang king ABSORBS the interpreter-function into kingship: he is the mandatory channel to Di and the ancestors, and his prognostication is by definition correct. Sub-type royal-monopoly: access to the divine is not gated by a separate priesthood but engrossed by the sovereign, who thereby makes his authority literally unquestionable.</t>
        </is>
      </c>
      <c r="J58" s="94" t="inlineStr">
        <is>
          <t>The bones themselves — and a staggering fact: the earliest Chinese writing exists BECAUSE of royal divination. Writing enters Chinese history as the record of the king's exclusive conversation with the ancestors; 'divine memory became written history.' The remainder is the script of a civilization, born inside a monopoly on the supernatural — a reminder that the technologies of record can originate as instruments of sacred-political control.</t>
        </is>
      </c>
      <c r="K58" s="94" t="inlineStr">
        <is>
          <t>Within: tamītu (DV-001), Delphi (DV-002), Roman augury (DV-003). Later Chinese mantic traditions (the Yijing/I Ching); cf. any ruler who is also high priest (sacral kingship).</t>
        </is>
      </c>
      <c r="L58" s="94" t="inlineStr">
        <is>
          <t>Tier 1-2</t>
        </is>
      </c>
      <c r="M58" s="94" t="inlineStr">
        <is>
          <t>Sourced (this pass)</t>
        </is>
      </c>
      <c r="N58" s="94" t="inlineStr">
        <is>
          <t>Exceptionally well-attested materially (~150,000 inscribed pieces from Yinxu; the corpus is the earliest Chinese writing and confirmed the Shang's historicity). The king-as-head-diviner monopoly is strongest for the LATE Shang; earlier, named diviners did more of the reading. The fine theology of Di and the crack-reading is partly inferred. Read the structure (a sacred-political monopoly), not a verdict on whether the ancestors answered.</t>
        </is>
      </c>
      <c r="O58" s="94" t="inlineStr">
        <is>
          <t>DV-01 — the ROYAL-MONOPOLY pole: the interpreter-function absorbed into kingship; divination as the foundation of legitimacy (and of writing). PF SS1-2. Sub-type = royal-monopoly.</t>
        </is>
      </c>
      <c r="P58" s="94" t="inlineStr">
        <is>
          <t>The oracle-bone inscriptions (jiaguwen) from Yinxu/Anyang (c. 1250-1046 BCE), esp. the Wu Ding-era corpus; David N. Keightley's editions.</t>
        </is>
      </c>
      <c r="Q58" s="94" t="inlineStr">
        <is>
          <t>Representative inscriptions — the four-part form (preface / charge / prognostication / verification); the 'hunt at Wu, no disasters' bone (king reads: 'auspicious'); the 'sacrifice to Ancestor Ding' bone (king reads: 'misfortune').</t>
        </is>
      </c>
      <c r="R58" s="94" t="inlineStr">
        <is>
          <t>David N. Keightley, 'Sources of Shang History' (1978) &amp; 'The Ancestral Landscape' (2000); Robert Eno on the oracle inscriptions; Sarah Allan on early Chinese cosmology.</t>
        </is>
      </c>
      <c r="S58" s="94" t="inlineStr">
        <is>
          <t>Is the royal-monopoly reading (king as chief diviner; divination as legitimacy; writing born of divination) grounded in the inscriptions/Keightley, and is the late-Shang qualification load-bearing? Keep structure distinct from truth-claim.</t>
        </is>
      </c>
      <c r="T58" s="94" t="n"/>
      <c r="U58" s="94" t="inlineStr">
        <is>
          <t>MODERATE — the material record and the political role are very strong; the risks are flattening the king-monopoly across all of Shang (it intensified late) and over-specifying the theology. The royal-monopoly structure is solid.</t>
        </is>
      </c>
      <c r="V58" s="94" t="inlineStr">
        <is>
          <t>Pull Keightley on the diviner/king's role + two sample inscriptions; cite Eno; anchor the writing-from-divination point.</t>
        </is>
      </c>
      <c r="W58" s="94" t="inlineStr">
        <is>
          <t>worldhistory.org Oracle Bones (king as head diviner); thearchaeologist.org &amp; chinaknowledge.de (pyromancy, ancestors/Di, earliest writing, royal archives)</t>
        </is>
      </c>
      <c r="X58" s="94" t="inlineStr">
        <is>
          <t>2026-06-14</t>
        </is>
      </c>
      <c r="Y58" s="86" t="inlineStr">
        <is>
          <t>Tier 1</t>
        </is>
      </c>
      <c r="Z58" s="86" t="inlineStr">
        <is>
          <t>Tier 1</t>
        </is>
      </c>
      <c r="AA58" s="104" t="inlineStr">
        <is>
          <t>Load-bearing</t>
        </is>
      </c>
      <c r="AB58" s="86" t="n"/>
      <c r="AC58" s="86" t="inlineStr">
        <is>
          <t>Not yet tested</t>
        </is>
      </c>
      <c r="AD58" s="86" t="n"/>
      <c r="AE58" s="105" t="inlineStr">
        <is>
          <t>Legacy — not yet tagged</t>
        </is>
      </c>
      <c r="AF58" s="105" t="n"/>
      <c r="AG58" s="105" t="n"/>
    </row>
    <row r="59" ht="283.5" customHeight="1" s="61">
      <c r="A59" s="94" t="inlineStr">
        <is>
          <t>DR-001</t>
        </is>
      </c>
      <c r="B59" s="94" t="inlineStr">
        <is>
          <t>DR-01</t>
        </is>
      </c>
      <c r="C59" s="94" t="inlineStr">
        <is>
          <t>Distributed Remainder / Surviving the Center's Fall</t>
        </is>
      </c>
      <c r="D59" s="94" t="inlineStr">
        <is>
          <t>portable-holiness</t>
        </is>
      </c>
      <c r="E59" s="94" t="inlineStr">
        <is>
          <t>Second Temple -&gt; Rabbinic Judaism; 70 CE</t>
        </is>
      </c>
      <c r="F59" s="94" t="inlineStr">
        <is>
          <t>The Pharisees -&gt; Rabbinic Judaism — when the Temple and its priesthood were destroyed, Jewish religious life survived because the Pharisaic stream had already made holiness portable: study, synagogue, prayer, and law that needed no central altar.</t>
        </is>
      </c>
      <c r="G59" s="94" t="inlineStr">
        <is>
          <t>In 70 CE Rome destroyed the Second Temple, ending the sacrificial cult and the priestly aristocracy (the Sadducees, tied to the Temple, did not survive). Of the first-century movements, the Pharisees — a lay movement centered on Torah study, oral tradition, synagogue, and applying holiness to everyday life — endured. The Talmud tells of Yohanan ben Zakkai smuggled from besieged Jerusalem in a coffin, securing from Vespasian an academy at Yavneh; there the Sanhedrin was reconstituted and Judaism shifted from a practice built around the Temple and its priestly rites to one centered on study and the observance of law. Atonement moved from sacrifice to charity and deeds of loving-kindness; worship moved to every local synagogue.</t>
        </is>
      </c>
      <c r="H59" s="94" t="inlineStr">
        <is>
          <t>The most centralized capture-apparatus imaginable — one Temple, one priestly caste, one place where the sacrifices (the administered debt) must be brought — was destroyed, and the signal did not die. It survived because a parallel, DISTRIBUTED form was already running: holiness you can practice anywhere, mediated by no caste, carried in text and habit. When the center fell, the remainder didn't need rebuilding; it was already everywhere.</t>
        </is>
      </c>
      <c r="I59" s="94" t="inlineStr">
        <is>
          <t>This is the anti-capture move in its clearest form — authority and access dispersed from a single mandatory center (Temple / priest) to a portable, replicable practice (study / synagogue / law) available to every household. No single place is indispensable; no caste monopolizes mediation. The remainder reactivates by going distributed rather than being re-captured into a new central cult.</t>
        </is>
      </c>
      <c r="J59" s="94" t="inlineStr">
        <is>
          <t>An entire religion — and the template for surviving the loss of one's center: a tradition whose holiness is portable cannot be killed by destroying its building. BUT the counterpoint is not permanent — over generations the distributed authority re-concentrated into a structured rabbinic estate (later tradition vesting broad authority in the rabbis), the recurring pattern by which the remainder that escapes capture becomes a new center.</t>
        </is>
      </c>
      <c r="K59" s="94" t="inlineStr">
        <is>
          <t>Reformation 'priesthood of all believers' (DR-002); post-Buddha Sangha (DR-003); cf. the capture clusters it inverts (CC-01 covenant; the Temple cult as priesthood-function)</t>
        </is>
      </c>
      <c r="L59" s="94" t="inlineStr">
        <is>
          <t>Tier 1-2</t>
        </is>
      </c>
      <c r="M59" s="94" t="inlineStr">
        <is>
          <t>Sourced (this pass)</t>
        </is>
      </c>
      <c r="N59" s="94" t="inlineStr">
        <is>
          <t>HANDLE WITH CARE — present the Pharisees accurately (a lay reform movement that made holiness portable), NOT through the later Christian-polemical 'legalist / hypocrite' trope, which is historically false and fed antisemitism. Tier-2 caveats: the neat Pharisee-&gt;rabbi-&gt;Judaism continuity is partly later rabbinic self-narration (Cohen, 'The Significance of Yavneh'); Yohanan is not always identified as a Pharisee; the distributed outcome was not inevitable (other contenders existed); the coffin / Vespasian story is a Talmudic legend (Gittin 56a), not plain history. Living Jewish tradition — analytic lens, not a verdict.
[v0.19] DR-01 = systems-history / countermeasure architecture; adjacent to primary myth evidence, not myth-motif evidence.</t>
        </is>
      </c>
      <c r="O59" s="94" t="inlineStr">
        <is>
          <t>PF Case 2 (distributed remainder / the center falls) — founding case of the COUNTERPOINT (anti-capture). Sub-type = portable-holiness.</t>
        </is>
      </c>
      <c r="P59" s="94" t="inlineStr">
        <is>
          <t>Mishnah (Pirkei Avot 1, the chain of transmission); Talmud Bavli Gittin 56a-b (Yohanan &amp; Vespasian); the Yavneh traditions; Deut 33:4 (Torah as the congregation's inheritance).</t>
        </is>
      </c>
      <c r="Q59" s="94" t="inlineStr">
        <is>
          <t>Gittin 56a (escape + the Yavneh request); m. Avot 1:1 (Sinai-&gt;elders-&gt;prophets-&gt;great assembly chain); the 'deeds of loving-kindness' atonement teaching (Avot de-Rabbi Natan 4).</t>
        </is>
      </c>
      <c r="R59" s="94" t="inlineStr">
        <is>
          <t>Shaye J.D. Cohen, 'From the Maccabees to the Mishnah' &amp; 'The Significance of Yavneh'; Jacob Neusner, 'From Politics to Piety'; E.P. Sanders, 'Judaism: Practice and Belief.'</t>
        </is>
      </c>
      <c r="S59" s="94" t="inlineStr">
        <is>
          <t>Is the portable-holiness reading textual and is the Pharisee portrayal accurate (non-polemical)? Foreground the Cohen caveats (rabbinization of history; contingency of outcome). Keep the re-concentration tension visible.</t>
        </is>
      </c>
      <c r="T59" s="94" t="n"/>
      <c r="U59" s="94" t="inlineStr">
        <is>
          <t>HIGH on two fronts — (a) reproducing anti-Pharisee polemic (guard against it explicitly); (b) telling the survival as a clean, inevitable, fully-intentional plan rather than a contingent outcome partly narrated in hindsight. The portable-holiness structure is solid; the tidiness is the risk.</t>
        </is>
      </c>
      <c r="V59" s="94" t="inlineStr">
        <is>
          <t>Pull Gittin 56a + m. Avot 1; cite Cohen on Yavneh; keep both the accuracy-caution and the re-concentration caveat load-bearing.</t>
        </is>
      </c>
      <c r="W59" s="94" t="inlineStr">
        <is>
          <t>en.wikipedia.org/wiki/Rabbinic_period; myjewishlearning.com 'Johanan ben Zakkai'; cojs.org Cohen 'Significance of Yavneh'</t>
        </is>
      </c>
      <c r="X59" s="94" t="inlineStr">
        <is>
          <t>2026-06-14</t>
        </is>
      </c>
      <c r="Y59" s="86" t="inlineStr">
        <is>
          <t>Tier 1</t>
        </is>
      </c>
      <c r="Z59" s="86" t="inlineStr">
        <is>
          <t>Tier 2</t>
        </is>
      </c>
      <c r="AA59" s="106" t="inlineStr">
        <is>
          <t>Supportive</t>
        </is>
      </c>
      <c r="AB59" s="86" t="n"/>
      <c r="AC59" s="86" t="inlineStr">
        <is>
          <t>Not yet tested</t>
        </is>
      </c>
      <c r="AD59" s="86" t="n"/>
      <c r="AE59" s="105" t="inlineStr">
        <is>
          <t>Legacy — not yet tagged</t>
        </is>
      </c>
      <c r="AF59" s="105" t="n"/>
      <c r="AG59" s="105" t="n"/>
    </row>
    <row r="60" ht="283.5" customHeight="1" s="61">
      <c r="A60" s="94" t="inlineStr">
        <is>
          <t>DR-002</t>
        </is>
      </c>
      <c r="B60" s="94" t="inlineStr">
        <is>
          <t>DR-01</t>
        </is>
      </c>
      <c r="C60" s="94" t="inlineStr">
        <is>
          <t>Distributed Remainder / Surviving the Center's Fall</t>
        </is>
      </c>
      <c r="D60" s="94" t="inlineStr">
        <is>
          <t>priesthood-of-all</t>
        </is>
      </c>
      <c r="E60" s="94" t="inlineStr">
        <is>
          <t>Western Christianity; 16th-c. Reformation</t>
        </is>
      </c>
      <c r="F60" s="94" t="inlineStr">
        <is>
          <t>The Reformation 'priesthood of all believers' — Luther's claim that every Christian has direct access to God and may read Scripture, breaking the clergy's monopoly on mediation and interpretation.</t>
        </is>
      </c>
      <c r="G60" s="94" t="inlineStr">
        <is>
          <t>The medieval Church held that God's grace was mediated through the sacraments and the priests authorized to administer them, and that only the Church's magisterium could authoritatively interpret Scripture. From 1520, Luther argued the holy / profane split between clergy and laity was wholly human and artificial: every baptized Christian is a priest with direct access to God through Christ, the one mediator (priesthood of all believers), and Scripture — not papal tradition — is the final authority, to be read by all (sola scriptura). The printing press and vernacular Bibles (Luther's German; Tyndale's English NT, 1526) put the text in ordinary hands, making faith a personal, literate practice rather than one mediated entirely through ritual and priestly authority.</t>
        </is>
      </c>
      <c r="H60" s="94" t="inlineStr">
        <is>
          <t>A mandatory-interpreter monopoly — grace and meaning available only through a credentialed caste — was broken not by destroying the institution but by DISTRIBUTING its function: declaring every believer a priest and every reader an interpreter. The gatekept channel to the divine was forced open; the technology (cheap print, vernacular text) made the distribution irreversible.</t>
        </is>
      </c>
      <c r="I60" s="94" t="inlineStr">
        <is>
          <t>The interpreter-capture directly attacked and dispersed: no human mediator is required (priesthood of all), no clerical monopoly on the text (sola scriptura). What the priesthood-function centralizes — access, mediation, authorized interpretation — the Reformation hands to everyone with a Bible.</t>
        </is>
      </c>
      <c r="J60" s="94" t="inlineStr">
        <is>
          <t>Mass literate access to the sacred text, and the principle that mediation can be dispersed. BUT, as with every case in this cluster, the distribution re-concentrated: Luther kept an ordained 'ministry,' Protestantism splintered into denominations with their own clergy, confessions, and interpretive authorities — new monopolies forming inside the movement that had broken the old one.</t>
        </is>
      </c>
      <c r="K60" s="94" t="inlineStr">
        <is>
          <t>Pharisees / rabbinic Judaism (DR-001); post-Buddha Sangha (DR-003); cf. the Catholic mediation-system it inverts (a priesthood-function apparatus)</t>
        </is>
      </c>
      <c r="L60" s="94" t="inlineStr">
        <is>
          <t>Tier 1-2</t>
        </is>
      </c>
      <c r="M60" s="94" t="inlineStr">
        <is>
          <t>Sourced (this pass)</t>
        </is>
      </c>
      <c r="N60" s="94" t="inlineStr">
        <is>
          <t>Well-documented history (Luther's 1520 texts extant). Caveats: 'priesthood of all believers' did NOT mean abolishing clergy — Luther retained a reformed ministry (representatives of the congregation), so this is democratization, not anarchy. Avoid the (ironically common) move of using 'the Pharisees' as the foil for the medieval clergy — that's the same polemic DR-001 corrects. Living Christian traditions (Catholic &amp; Protestant) — descriptive, not partisan.
[v0.19] DR-01 = systems-history / countermeasure architecture; adjacent to primary myth evidence, not myth-motif evidence.</t>
        </is>
      </c>
      <c r="O60" s="94" t="inlineStr">
        <is>
          <t>PF Case 2 family (distributed remainder) — the COUNTERPOINT; the interpreter-monopoly broken. Sub-type = priesthood-of-all.</t>
        </is>
      </c>
      <c r="P60" s="94" t="inlineStr">
        <is>
          <t>Luther, 'To the Christian Nobility of the German Nation' (1520) &amp; 'The Freedom of a Christian' (1520); the 95 Theses (1517); Luther's German Bible; Tyndale NT (1526).</t>
        </is>
      </c>
      <c r="Q60" s="94" t="inlineStr">
        <is>
          <t>'To the Christian Nobility' on the artificial clergy / laity split &amp; priesthood of all; sola scriptura statements (Diet of Worms, 1521); 1 Peter 2:9 (the proof-text).</t>
        </is>
      </c>
      <c r="R60" s="94" t="inlineStr">
        <is>
          <t>Roger E. Olson, 'The Story of Christian Theology'; Alister McGrath, 'Reformation Thought'; Britannica s.v. 'priesthood of all believers.'</t>
        </is>
      </c>
      <c r="S60" s="94" t="inlineStr">
        <is>
          <t>Confirm the priesthood-of-all + sola-scriptura + print-distribution facts. Keep the 'reformed ministry retained' and the re-concentration (denominationalism) caveats visible. Don't import the anti-Pharisee trope.</t>
        </is>
      </c>
      <c r="T60" s="94" t="n"/>
      <c r="U60" s="94" t="inlineStr">
        <is>
          <t>LOW-MODERATE on the history; MODERATE on the reading — resist framing it as pure, permanent decentralization (clergy retained; new authorities formed). The distribution is real; its permanence is not.</t>
        </is>
      </c>
      <c r="V60" s="94" t="inlineStr">
        <is>
          <t>Pull the 1520 'Christian Nobility' passage + 1 Pet 2:9; cite McGrath; note the denominational re-concentration.</t>
        </is>
      </c>
      <c r="W60" s="94" t="inlineStr">
        <is>
          <t>britannica.com 'priesthood of all believers'; museeprotestant.org 'sola scriptura' (Luther 1520; Tyndale 1526)</t>
        </is>
      </c>
      <c r="X60" s="94" t="inlineStr">
        <is>
          <t>2026-06-14</t>
        </is>
      </c>
      <c r="Y60" s="86" t="inlineStr">
        <is>
          <t>Tier 1</t>
        </is>
      </c>
      <c r="Z60" s="86" t="inlineStr">
        <is>
          <t>Tier 2</t>
        </is>
      </c>
      <c r="AA60" s="106" t="inlineStr">
        <is>
          <t>Supportive</t>
        </is>
      </c>
      <c r="AB60" s="86" t="n"/>
      <c r="AC60" s="86" t="inlineStr">
        <is>
          <t>Not yet tested</t>
        </is>
      </c>
      <c r="AD60" s="86" t="n"/>
      <c r="AE60" s="105" t="inlineStr">
        <is>
          <t>Legacy — not yet tagged</t>
        </is>
      </c>
      <c r="AF60" s="105" t="n"/>
      <c r="AG60" s="105" t="n"/>
    </row>
    <row r="61" ht="283.5" customHeight="1" s="61">
      <c r="A61" s="94" t="inlineStr">
        <is>
          <t>DR-003</t>
        </is>
      </c>
      <c r="B61" s="94" t="inlineStr">
        <is>
          <t>DR-01</t>
        </is>
      </c>
      <c r="C61" s="94" t="inlineStr">
        <is>
          <t>Distributed Remainder / Surviving the Center's Fall</t>
        </is>
      </c>
      <c r="D61" s="94" t="inlineStr">
        <is>
          <t>teaching-as-teacher</t>
        </is>
      </c>
      <c r="E61" s="94" t="inlineStr">
        <is>
          <t>Early Buddhism; Mahaparinibbana Sutta (DN 16)</t>
        </is>
      </c>
      <c r="F61" s="94" t="inlineStr">
        <is>
          <t>The Buddha's parinirvana — dying, he appoints no successor and instead names the Dhamma and Vinaya his successor, telling the Sangha to 'be islands / lamps unto yourselves' with the teaching, not any person, as the refuge.</t>
        </is>
      </c>
      <c r="G61" s="94" t="inlineStr">
        <is>
          <t>In the Mahaparinibbana Sutta the dying Buddha tells Ananda he has no thought that he should lead the community or that it depends on him, and so gives no instruction appointing a leader. Instead of naming an individual successor, he identifies the Dhamma and Vinaya he has taught as the successor, and sets impersonal criteria (the Mahapadesa) for authenticating any future teaching: judge a claim not by the authority of who reports it, but by its consistency with the teaching already known. His parting instruction: be islands unto yourselves, with the Dhamma as your island, your refuge, seeking no other refuge.</t>
        </is>
      </c>
      <c r="H61" s="94" t="inlineStr">
        <is>
          <t>At the moment a charismatic founder dies — the classic trigger for a succession-grab and a new central authority — the Buddha PREEMPTS the capture: he refuses to be indispensable, refuses to anoint a successor-monopoly, and relocates authority into the teaching itself and into each practitioner. There is no one to capture the office, because the office is dissolved into text, code, and personal practice.</t>
        </is>
      </c>
      <c r="I61" s="94" t="inlineStr">
        <is>
          <t>The mandatory-interpreter is forestalled by design. Authority is impersonal (the Dhamma / Vinaya), self-validating by criteria rather than by an authorized person, and internalized (each is a lamp unto themselves via their own practice). No caste is needed to mediate; no successor inherits the power to define truth.</t>
        </is>
      </c>
      <c r="J61" s="94" t="inlineStr">
        <is>
          <t>A tradition that locates authority in teaching-plus-practice rather than office — explicitly a Way said to go beyond priesthood. BUT the cluster's tension holds here too: the Sangha promptly organized (Mahakassapa convening the First Council to fix the canon), and Buddhism developed monastic hierarchies, lineages, and ordination authorities — distributed authority re-concentrating into new institutional centers over time.</t>
        </is>
      </c>
      <c r="K61" s="94" t="inlineStr">
        <is>
          <t>Pharisees / rabbinic Judaism (DR-001); Reformation (DR-002); cf. founder-cults that DID centralize after a death (contrast)</t>
        </is>
      </c>
      <c r="L61" s="94" t="inlineStr">
        <is>
          <t>Tier 1-2</t>
        </is>
      </c>
      <c r="M61" s="94" t="inlineStr">
        <is>
          <t>Sourced (this pass)</t>
        </is>
      </c>
      <c r="N61" s="94" t="inlineStr">
        <is>
          <t>The textual content (no successor; Dhamma / Vinaya as successor; atta-dipa; Mahapadesa) is solidly in DN 16. Caveats: DN 16 is the tradition's account, redacted over time — not a verbatim deathbed transcript; some popular renderings ('work out your own salvation') are looser than the text. The re-concentration (councils, lineage authority) is part of the same history. Living Buddhist tradition — descriptive, not reductive.
[v0.19] DR-01 = systems-history; adjacent to primary myth evidence. Living-tradition care (Buddhism).</t>
        </is>
      </c>
      <c r="O61" s="94" t="inlineStr">
        <is>
          <t>PF Case 2 family (distributed remainder) — the COUNTERPOINT; authority distributed at the founder's death. Sub-type = teaching-as-teacher.</t>
        </is>
      </c>
      <c r="P61" s="94" t="inlineStr">
        <is>
          <t>Mahaparinibbana Sutta (Digha Nikaya 16); the Mahapadesa passage (DN 16 / AN 4.180); the atta-dipa passage (also Samyutta Nikaya 47.9, 47.13).</t>
        </is>
      </c>
      <c r="Q61" s="94" t="inlineStr">
        <is>
          <t>DN 16 — the 'no leader / Dhamma-and-Vinaya as successor' passage; the 'be islands unto yourselves' passage; the Mahapadesa four criteria.</t>
        </is>
      </c>
      <c r="R61" s="94" t="inlineStr">
        <is>
          <t>Rupert Gethin, 'The Foundations of Buddhism'; Richard Gombrich, 'Theravada Buddhism'; Maurice Walshe / Bhikkhu Bodhi trans. of the Digha Nikaya.</t>
        </is>
      </c>
      <c r="S61" s="94" t="inlineStr">
        <is>
          <t>Confirm the no-successor + Dhamma/Vinaya-as-successor + atta-dipa + Mahapadesa points in DN 16. Flag DN 16's redactional nature and the re-concentration. Keep it descriptive of a living tradition.</t>
        </is>
      </c>
      <c r="T61" s="94" t="n"/>
      <c r="U61" s="94" t="inlineStr">
        <is>
          <t>MODERATE — the anti-capture reading is well-grounded in the text, but don't overstate it as 'Buddhism has no authority structures' (it developed many) or treat DN 16 as historical reportage. The teaching-as-authority structure is the textual claim.</t>
        </is>
      </c>
      <c r="V61" s="94" t="inlineStr">
        <is>
          <t>Pull DN 16 passages (Walshe / Bodhi) + the Mahapadesa; cite Gethin; note the First Council re-concentration.</t>
        </is>
      </c>
      <c r="W61" s="94" t="inlineStr">
        <is>
          <t>accesstoinsight.org dn.16 (Maha-parinibbana Sutta); dhammatalks.org DN16 (DN 16; Mahapadesa)</t>
        </is>
      </c>
      <c r="X61" s="94" t="inlineStr">
        <is>
          <t>2026-06-14</t>
        </is>
      </c>
      <c r="Y61" s="86" t="inlineStr">
        <is>
          <t>Tier 1</t>
        </is>
      </c>
      <c r="Z61" s="86" t="inlineStr">
        <is>
          <t>Tier 2</t>
        </is>
      </c>
      <c r="AA61" s="106" t="inlineStr">
        <is>
          <t>Supportive</t>
        </is>
      </c>
      <c r="AB61" s="86" t="n"/>
      <c r="AC61" s="86" t="inlineStr">
        <is>
          <t>Not yet tested</t>
        </is>
      </c>
      <c r="AD61" s="86" t="n"/>
      <c r="AE61" s="105" t="inlineStr">
        <is>
          <t>Legacy — not yet tagged</t>
        </is>
      </c>
      <c r="AF61" s="105" t="n"/>
      <c r="AG61" s="105" t="n"/>
    </row>
    <row r="62" ht="150" customHeight="1" s="61">
      <c r="A62" s="111" t="inlineStr">
        <is>
          <t>VA-001</t>
        </is>
      </c>
      <c r="B62" s="111" t="inlineStr">
        <is>
          <t>VA-01</t>
        </is>
      </c>
      <c r="C62" s="111" t="inlineStr">
        <is>
          <t>Voice / Authorship / Signal Capture</t>
        </is>
      </c>
      <c r="D62" s="111" t="inlineStr">
        <is>
          <t>Origination disabled; repetition retained</t>
        </is>
      </c>
      <c r="E62" s="111" t="inlineStr">
        <is>
          <t>Roman literary myth</t>
        </is>
      </c>
      <c r="F62" s="111" t="inlineStr">
        <is>
          <t>Echo (Ovid)</t>
        </is>
      </c>
      <c r="G62" s="111" t="inlineStr">
        <is>
          <t>Juno punishes Echo for distracting her with talk: Echo can thereafter repeat only the endings of another speaker's words. Rejected by Narcissus, her body wastes away while her voice remains.</t>
        </is>
      </c>
      <c r="H62" s="111" t="inlineStr">
        <is>
          <t>A speaker can be stripped of initiative and left useful only as a transmission medium; even so, selective repetition leaves a small compositional remainder.</t>
        </is>
      </c>
      <c r="I62" s="111" t="inlineStr">
        <is>
          <t>Capture separates authorship from circulation: the channel survives, but it is licensed to carry only prior speech.</t>
        </is>
      </c>
      <c r="J62" s="111" t="inlineStr">
        <is>
          <t>Echo chooses fragments that answer Narcissus; after her body disappears, signal persists without a controllable body.</t>
        </is>
      </c>
      <c r="K62" s="111" t="inlineStr">
        <is>
          <t>Cassandra (truth without credibility); Longus's dismembered Echo; distributed remainder</t>
        </is>
      </c>
      <c r="L62" s="111" t="inlineStr">
        <is>
          <t>Tier 1-2</t>
        </is>
      </c>
      <c r="M62" s="111" t="inlineStr">
        <is>
          <t>Anchored (v0.21); primary passage located</t>
        </is>
      </c>
      <c r="N62" s="111" t="inlineStr">
        <is>
          <t>Roman, Latin, and late relative to archaic Greek sources. Do not merge this punishment with Longus's separate Pan/Echo narrative.</t>
        </is>
      </c>
      <c r="O62" s="111" t="inlineStr">
        <is>
          <t>Ovid, Metamorphoses 3.359-401</t>
        </is>
      </c>
      <c r="P62" s="111" t="inlineStr">
        <is>
          <t>Ovid, Metamorphoses, Book 3</t>
        </is>
      </c>
      <c r="Q62" s="111" t="inlineStr">
        <is>
          <t>359-369; 385-401</t>
        </is>
      </c>
      <c r="R62" s="111" t="inlineStr">
        <is>
          <t>Ovid commentary on Echo/Narcissus; Shane Butler, The Ancient Phonograph</t>
        </is>
      </c>
      <c r="S62" s="111" t="inlineStr">
        <is>
          <t>Separate what Ovid says about constrained speech from the modern authorship-capture reading. What agency remains in Echo's selections?</t>
        </is>
      </c>
      <c r="T62" s="111" t="inlineStr">
        <is>
          <t>High-value story bridge: a channel can outlive a punished speaker without becoming a trustworthy archive by default.</t>
        </is>
      </c>
      <c r="U62" s="111" t="inlineStr">
        <is>
          <t>Do not call Echo an ancient free-speech activist or Gaia's uncensorable archive.</t>
        </is>
      </c>
      <c r="V62" s="111" t="inlineStr">
        <is>
          <t>Verify against a cited critical edition and add exact translation used.</t>
        </is>
      </c>
      <c r="W62" s="112" t="inlineStr">
        <is>
          <t>https://www.perseus.tufts.edu/hopper/text?doc=Perseus%3Atext%3A1999.02.0029%3Abook%3D3</t>
        </is>
      </c>
      <c r="X62" s="111" t="inlineStr">
        <is>
          <t>2026-08-18</t>
        </is>
      </c>
      <c r="Y62" s="111" t="inlineStr">
        <is>
          <t>Tier 1</t>
        </is>
      </c>
      <c r="Z62" s="111" t="inlineStr">
        <is>
          <t>Tier 2</t>
        </is>
      </c>
      <c r="AA62" s="113" t="inlineStr">
        <is>
          <t>Load-bearing</t>
        </is>
      </c>
      <c r="AB62" s="111" t="inlineStr">
        <is>
          <t>The frame might predict total silencing; Ovid instead preserves repeatable sound and limited reply.</t>
        </is>
      </c>
      <c r="AC62" s="111" t="inlineStr">
        <is>
          <t>Fits</t>
        </is>
      </c>
      <c r="AD62" s="111" t="inlineStr">
        <is>
          <t>The episode is also an aetiology of echo and a tragedy of failed reciprocity, not a theory of institutional censorship.</t>
        </is>
      </c>
      <c r="AE62" s="111" t="inlineStr">
        <is>
          <t>Ancient variant / reception</t>
        </is>
      </c>
      <c r="AF62" s="111" t="inlineStr">
        <is>
          <t>Ancient core: Juno restricts Echo to repeating final words and Echo's body fades. Fictional layer: courtroom routing, badges, distributed testimony, or deliberate archival resistance.</t>
        </is>
      </c>
      <c r="AG62" s="111" t="inlineStr"/>
    </row>
    <row r="63" ht="150" customHeight="1" s="61">
      <c r="A63" s="111" t="inlineStr">
        <is>
          <t>VA-002</t>
        </is>
      </c>
      <c r="B63" s="111" t="inlineStr">
        <is>
          <t>VA-01</t>
        </is>
      </c>
      <c r="C63" s="111" t="inlineStr">
        <is>
          <t>Voice / Authorship / Signal Capture</t>
        </is>
      </c>
      <c r="D63" s="111" t="inlineStr">
        <is>
          <t>Truth retained; credibility disabled</t>
        </is>
      </c>
      <c r="E63" s="111" t="inlineStr">
        <is>
          <t>Greek tragedy</t>
        </is>
      </c>
      <c r="F63" s="111" t="inlineStr">
        <is>
          <t>Cassandra</t>
        </is>
      </c>
      <c r="G63" s="111" t="inlineStr">
        <is>
          <t>Cassandra speaks true prophecy, but Apollo's punishment makes her warnings disbelieved; in Agamemnon she recognizes the house's violence and her own death while the chorus fails to act.</t>
        </is>
      </c>
      <c r="H63" s="111" t="inlineStr">
        <is>
          <t>A system need not suppress a message if it can disable the speaker's credibility in advance.</t>
        </is>
      </c>
      <c r="I63" s="111" t="inlineStr">
        <is>
          <t>Authentication capture: truth circulates, but the social rule for recognizing truth has been sabotaged.</t>
        </is>
      </c>
      <c r="J63" s="111" t="inlineStr">
        <is>
          <t>The testimony remains accurate and becomes legible to the audience even when useless to those inside the scene.</t>
        </is>
      </c>
      <c r="K63" s="111" t="inlineStr">
        <is>
          <t>Echo; rejected whistleblower; Delphi's mediated oracle</t>
        </is>
      </c>
      <c r="L63" s="111" t="inlineStr">
        <is>
          <t>Tier 1-2</t>
        </is>
      </c>
      <c r="M63" s="111" t="inlineStr">
        <is>
          <t>Anchored (v0.21); primary passage located</t>
        </is>
      </c>
      <c r="N63" s="111" t="inlineStr">
        <is>
          <t>Keep the divine-sexual bargain and House of Atreus tragedy visible; 'epistemic injustice' is a modern analytic term.</t>
        </is>
      </c>
      <c r="O63" s="111" t="inlineStr">
        <is>
          <t>Aeschylus, Agamemnon 1202-1213 and following</t>
        </is>
      </c>
      <c r="P63" s="111" t="inlineStr">
        <is>
          <t>Aeschylus, Agamemnon</t>
        </is>
      </c>
      <c r="Q63" s="111" t="inlineStr">
        <is>
          <t>1202-1213; continue through the recognition and death prophecy</t>
        </is>
      </c>
      <c r="R63" s="111" t="inlineStr">
        <is>
          <t>Commentaries on Cassandra in Agamemnon; scholarship on tragic prophecy and credibility</t>
        </is>
      </c>
      <c r="S63" s="111" t="inlineStr">
        <is>
          <t>What in the text disables belief, and what does the audience know that the chorus cannot use?</t>
        </is>
      </c>
      <c r="T63" s="111" t="inlineStr">
        <is>
          <t>This is stronger than generic silencing: the signal is audible, true, and institutionally inert.</t>
        </is>
      </c>
      <c r="U63" s="111" t="inlineStr">
        <is>
          <t>Do not reduce Cassandra to a modern whistleblower or treat disbelief as a bureaucratic policy.</t>
        </is>
      </c>
      <c r="V63" s="111" t="inlineStr">
        <is>
          <t>Pin line numbering and translation; add one academic commentary.</t>
        </is>
      </c>
      <c r="W63" s="112" t="inlineStr">
        <is>
          <t>https://www.theoi.com/Text/AeschylusAgamemnon.html</t>
        </is>
      </c>
      <c r="X63" s="111" t="inlineStr">
        <is>
          <t>2026-08-18</t>
        </is>
      </c>
      <c r="Y63" s="111" t="inlineStr">
        <is>
          <t>Tier 1</t>
        </is>
      </c>
      <c r="Z63" s="111" t="inlineStr">
        <is>
          <t>Tier 2</t>
        </is>
      </c>
      <c r="AA63" s="114" t="inlineStr">
        <is>
          <t>Supportive</t>
        </is>
      </c>
      <c r="AB63" s="111" t="inlineStr">
        <is>
          <t>The frame predicts control of circulation; Cassandra's speech circulates freely but fails at credibility.</t>
        </is>
      </c>
      <c r="AC63" s="111" t="inlineStr">
        <is>
          <t>Fits</t>
        </is>
      </c>
      <c r="AD63" s="111" t="inlineStr">
        <is>
          <t>Her fate belongs to divine punishment and tragic family history rather than an organized media system.</t>
        </is>
      </c>
      <c r="AE63" s="111" t="inlineStr">
        <is>
          <t>Ancient textual core</t>
        </is>
      </c>
      <c r="AF63" s="111" t="inlineStr">
        <is>
          <t>Ancient core: true prophecy is made unbelievable. Fictional layer: formal witness rules, verification protocols, or a public tribunal that restores standing.</t>
        </is>
      </c>
      <c r="AG63" s="111" t="inlineStr">
        <is>
          <t>DV-01</t>
        </is>
      </c>
    </row>
    <row r="64" ht="150" customHeight="1" s="61">
      <c r="A64" s="111" t="inlineStr">
        <is>
          <t>VA-003</t>
        </is>
      </c>
      <c r="B64" s="111" t="inlineStr">
        <is>
          <t>VA-01</t>
        </is>
      </c>
      <c r="C64" s="111" t="inlineStr">
        <is>
          <t>Voice / Authorship / Signal Capture</t>
        </is>
      </c>
      <c r="D64" s="111" t="inlineStr">
        <is>
          <t>Oral overload converted into sovereign record</t>
        </is>
      </c>
      <c r="E64" s="111" t="inlineStr">
        <is>
          <t>Sumerian literary tradition</t>
        </is>
      </c>
      <c r="F64" s="111" t="inlineStr">
        <is>
          <t>Enmerkar's tablet</t>
        </is>
      </c>
      <c r="G64" s="111" t="inlineStr">
        <is>
          <t>When a messenger can no longer repeat Enmerkar's long message, the lord kneads clay and writes the words on a tablet; the recorded message remains part of a coercive contest with Aratta.</t>
        </is>
      </c>
      <c r="H64" s="111" t="inlineStr">
        <is>
          <t>Durable writing solves transmission failure, but the stabilized signal belongs to royal command rather than distributed speech.</t>
        </is>
      </c>
      <c r="I64" s="111" t="inlineStr">
        <is>
          <t>Record-making can reduce dependence on memory while increasing the center's control over wording, recurrence, and proof.</t>
        </is>
      </c>
      <c r="J64" s="111" t="inlineStr">
        <is>
          <t>The message becomes portable and repeatable beyond one messenger's capacity.</t>
        </is>
      </c>
      <c r="K64" s="111" t="inlineStr">
        <is>
          <t>Jeremiah/Baruch; Shang records; administrative inscription</t>
        </is>
      </c>
      <c r="L64" s="111" t="inlineStr">
        <is>
          <t>Tier 1-2</t>
        </is>
      </c>
      <c r="M64" s="111" t="inlineStr">
        <is>
          <t>Anchored (v0.21); ETCSL passage located</t>
        </is>
      </c>
      <c r="N64" s="111" t="inlineStr">
        <is>
          <t>Do not call this the universal invention of writing or a liberation of voice. The composition and manuscripts are historically complex.</t>
        </is>
      </c>
      <c r="O64" s="111" t="inlineStr">
        <is>
          <t>Enmerkar and the Lord of Aratta 500-535</t>
        </is>
      </c>
      <c r="P64" s="111" t="inlineStr">
        <is>
          <t>ETCSL 1.8.2.3</t>
        </is>
      </c>
      <c r="Q64" s="111" t="inlineStr">
        <is>
          <t>500-535; compare coercive context 108-207</t>
        </is>
      </c>
      <c r="R64" s="111" t="inlineStr">
        <is>
          <t>Assyriological work on Enmerkar, literacy, and the messenger episode</t>
        </is>
      </c>
      <c r="S64" s="111" t="inlineStr">
        <is>
          <t>Does durable inscription distribute authority, centralize it, or do both at once in this episode?</t>
        </is>
      </c>
      <c r="T64" s="111" t="inlineStr">
        <is>
          <t>Excellent counter-pressure on any equation of writing with emancipation.</t>
        </is>
      </c>
      <c r="U64" s="111" t="inlineStr">
        <is>
          <t>Avoid treating literary aetiology as a simple historical account of writing's invention.</t>
        </is>
      </c>
      <c r="V64" s="111" t="inlineStr">
        <is>
          <t>Verify translation and manuscript caveat in a current scholarly edition.</t>
        </is>
      </c>
      <c r="W64" s="112" t="inlineStr">
        <is>
          <t>https://etcsl.orinst.ox.ac.uk/section1/tr1823.htm</t>
        </is>
      </c>
      <c r="X64" s="111" t="inlineStr">
        <is>
          <t>2026-08-18</t>
        </is>
      </c>
      <c r="Y64" s="111" t="inlineStr">
        <is>
          <t>Tier 1</t>
        </is>
      </c>
      <c r="Z64" s="111" t="inlineStr">
        <is>
          <t>Tier 2</t>
        </is>
      </c>
      <c r="AA64" s="114" t="inlineStr">
        <is>
          <t>Supportive</t>
        </is>
      </c>
      <c r="AB64" s="111" t="inlineStr">
        <is>
          <t>The frame predicts captured intermediaries; here the medium changes because the messenger reaches a cognitive limit.</t>
        </is>
      </c>
      <c r="AC64" s="111" t="inlineStr">
        <is>
          <t>Partial fit</t>
        </is>
      </c>
      <c r="AD64" s="111" t="inlineStr">
        <is>
          <t>Writing solves a memory problem while transmitting a king's ultimatum; it centralizes command as much as it frees the messenger.</t>
        </is>
      </c>
      <c r="AE64" s="111" t="inlineStr">
        <is>
          <t>Ancient textual core</t>
        </is>
      </c>
      <c r="AF64" s="111" t="inlineStr">
        <is>
          <t>Ancient core: a too-long oral message is put on clay. Fictional layer: a neutral public ledger, anti-censorship network, or democratic archive.</t>
        </is>
      </c>
      <c r="AG64" s="111" t="inlineStr">
        <is>
          <t>DV-01; DR-01</t>
        </is>
      </c>
    </row>
    <row r="65" ht="150" customHeight="1" s="61">
      <c r="A65" s="111" t="inlineStr">
        <is>
          <t>VA-004</t>
        </is>
      </c>
      <c r="B65" s="111" t="inlineStr">
        <is>
          <t>VA-01</t>
        </is>
      </c>
      <c r="C65" s="111" t="inlineStr">
        <is>
          <t>Voice / Authorship / Signal Capture</t>
        </is>
      </c>
      <c r="D65" s="111" t="inlineStr">
        <is>
          <t>Speaker, scribe, reader, and record separated</t>
        </is>
      </c>
      <c r="E65" s="111" t="inlineStr">
        <is>
          <t>Hebrew Bible / court narrative</t>
        </is>
      </c>
      <c r="F65" s="111" t="inlineStr">
        <is>
          <t>Jeremiah and Baruch</t>
        </is>
      </c>
      <c r="G65" s="111" t="inlineStr">
        <is>
          <t>Jeremiah dictates a scroll to Baruch; Baruch reads it; the king cuts and burns it; Jeremiah dictates a replacement with additional words.</t>
        </is>
      </c>
      <c r="H65" s="111" t="inlineStr">
        <is>
          <t>Destroying one artifact does not end a message when composition, memory, scribal labor, and community are distributed across people.</t>
        </is>
      </c>
      <c r="I65" s="111" t="inlineStr">
        <is>
          <t>The court attempts record destruction; prophetic authorization regenerates the text through a trusted scribe.</t>
        </is>
      </c>
      <c r="J65" s="111" t="inlineStr">
        <is>
          <t>The signal survives material destruction and returns in expanded form.</t>
        </is>
      </c>
      <c r="K65" s="111" t="inlineStr">
        <is>
          <t>Echo; Enmerkar; distributed remainder</t>
        </is>
      </c>
      <c r="L65" s="111" t="inlineStr">
        <is>
          <t>Tier 1-2</t>
        </is>
      </c>
      <c r="M65" s="111" t="inlineStr">
        <is>
          <t>Anchored (v0.21); chapter located</t>
        </is>
      </c>
      <c r="N65" s="111" t="inlineStr">
        <is>
          <t>Treat as theological court narrative, not a neutral transcript of administrative history. Preserve Jewish and Christian interpretive contexts.</t>
        </is>
      </c>
      <c r="O65" s="111" t="inlineStr">
        <is>
          <t>Jeremiah 36:1-32</t>
        </is>
      </c>
      <c r="P65" s="111" t="inlineStr">
        <is>
          <t>Book of Jeremiah, chapter 36</t>
        </is>
      </c>
      <c r="Q65" s="111" t="inlineStr">
        <is>
          <t>Whole chapter; especially 1-8, 20-26, 27-32</t>
        </is>
      </c>
      <c r="R65" s="111" t="inlineStr">
        <is>
          <t>Critical commentaries on Jeremiah 36, scribal transmission, and textual growth</t>
        </is>
      </c>
      <c r="S65" s="111" t="inlineStr">
        <is>
          <t>Map who originates, writes, reads, destroys, remembers, and authorizes the replacement. Where is agency concentrated?</t>
        </is>
      </c>
      <c r="T65" s="111" t="inlineStr">
        <is>
          <t>A high-quality case because the record is both authorized and resilient; distribution is not the same as leaderless authorship.</t>
        </is>
      </c>
      <c r="U65" s="111" t="inlineStr">
        <is>
          <t>Do not turn Baruch into an autonomous modern publisher or the chapter into a generic free-press parable.</t>
        </is>
      </c>
      <c r="V65" s="111" t="inlineStr">
        <is>
          <t>Add a Jewish-studies source and specify the translation used.</t>
        </is>
      </c>
      <c r="W65" s="112" t="inlineStr">
        <is>
          <t>https://www.sefaria.org/Jeremiah.36?lang=bi</t>
        </is>
      </c>
      <c r="X65" s="111" t="inlineStr">
        <is>
          <t>2026-08-18</t>
        </is>
      </c>
      <c r="Y65" s="111" t="inlineStr">
        <is>
          <t>Tier 1</t>
        </is>
      </c>
      <c r="Z65" s="111" t="inlineStr">
        <is>
          <t>Tier 2</t>
        </is>
      </c>
      <c r="AA65" s="114" t="inlineStr">
        <is>
          <t>Supportive</t>
        </is>
      </c>
      <c r="AB65" s="111" t="inlineStr">
        <is>
          <t>The frame predicts a priestly choke point; the passage instead shows a prophet-authorized scribal chain.</t>
        </is>
      </c>
      <c r="AC65" s="111" t="inlineStr">
        <is>
          <t>Fits</t>
        </is>
      </c>
      <c r="AD65" s="111" t="inlineStr">
        <is>
          <t>Authority remains with God and the prophet; Baruch is a commissioned scribe, not a decentralized authorial collective.</t>
        </is>
      </c>
      <c r="AE65" s="111" t="inlineStr">
        <is>
          <t>Ancient textual core</t>
        </is>
      </c>
      <c r="AF65" s="111" t="inlineStr">
        <is>
          <t>Ancient core: dictation, public reading, royal destruction, and regenerated scroll. Fictional layer: anonymous publication infrastructure or a constitutional right to copy.</t>
        </is>
      </c>
      <c r="AG65" s="111" t="inlineStr">
        <is>
          <t>DR-01</t>
        </is>
      </c>
    </row>
    <row r="66" ht="150" customHeight="1" s="61">
      <c r="A66" s="111" t="inlineStr">
        <is>
          <t>VA-005</t>
        </is>
      </c>
      <c r="B66" s="111" t="inlineStr">
        <is>
          <t>VA-01</t>
        </is>
      </c>
      <c r="C66" s="111" t="inlineStr">
        <is>
          <t>Voice / Authorship / Signal Capture</t>
        </is>
      </c>
      <c r="D66" s="111" t="inlineStr">
        <is>
          <t>Counterexample: Speech as sovereign agent</t>
        </is>
      </c>
      <c r="E66" s="111" t="inlineStr">
        <is>
          <t>Rigvedic / living Hindu reception</t>
        </is>
      </c>
      <c r="F66" s="111" t="inlineStr">
        <is>
          <t>Vāc</t>
        </is>
      </c>
      <c r="G66" s="111" t="inlineStr">
        <is>
          <t>In Rigveda 10.125, Speech speaks in the first person as a cosmic power who moves among gods, sustains beings, and empowers whom she chooses.</t>
        </is>
      </c>
      <c r="H66" s="111" t="inlineStr">
        <is>
          <t>The hymn resists the assumption that speech is merely a channel owned by ruler, priest, or speaker.</t>
        </is>
      </c>
      <c r="I66" s="111" t="inlineStr">
        <is>
          <t>Counterexample to a capture-only model: ritual speech can appear as agent and source of authorization, not passive infrastructure.</t>
        </is>
      </c>
      <c r="J66" s="111" t="inlineStr">
        <is>
          <t>Speech retains cosmic agency and cannot be reduced to a message carrier.</t>
        </is>
      </c>
      <c r="K66" s="111" t="inlineStr">
        <is>
          <t>Echo; Sarasvati/Vāc reception only with tradition-specific sourcing</t>
        </is>
      </c>
      <c r="L66" s="111" t="inlineStr">
        <is>
          <t>Tier 1-2</t>
        </is>
      </c>
      <c r="M66" s="111" t="inlineStr">
        <is>
          <t>Anchored (v0.21); hymn located</t>
        </is>
      </c>
      <c r="N66" s="111" t="inlineStr">
        <is>
          <t>Living-tradition care. Do not translate theological self-assertion into modern individual free speech or a single pan-Hindu doctrine.</t>
        </is>
      </c>
      <c r="O66" s="111" t="inlineStr">
        <is>
          <t>Rigveda 10.125 (Devīsūkta / Vāc hymn)</t>
        </is>
      </c>
      <c r="P66" s="111" t="inlineStr">
        <is>
          <t>Rigveda 10.125</t>
        </is>
      </c>
      <c r="Q66" s="111" t="inlineStr">
        <is>
          <t>Entire hymn</t>
        </is>
      </c>
      <c r="R66" s="111" t="inlineStr">
        <is>
          <t>Jamison and Brereton, The Rigveda (2014); tradition-specific scholarship on Vāc</t>
        </is>
      </c>
      <c r="S66" s="111" t="inlineStr">
        <is>
          <t>Does this hymn break the cluster's assumption that voice must belong to a human author or institution?</t>
        </is>
      </c>
      <c r="T66" s="111" t="inlineStr">
        <is>
          <t>The row is here to stop VA-01 from becoming a universal story of censorship.</t>
        </is>
      </c>
      <c r="U66" s="111" t="inlineStr">
        <is>
          <t>No 'Eastern goddess of free speech' shorthand; keep translation and reception specific.</t>
        </is>
      </c>
      <c r="V66" s="111" t="inlineStr">
        <is>
          <t>Verify with Jamison-Brereton and add a living-tradition scholarly source.</t>
        </is>
      </c>
      <c r="W66" s="112" t="inlineStr">
        <is>
          <t>https://rigveda-online.github.io/10/125.html</t>
        </is>
      </c>
      <c r="X66" s="111" t="inlineStr">
        <is>
          <t>2026-08-18</t>
        </is>
      </c>
      <c r="Y66" s="111" t="inlineStr">
        <is>
          <t>Tier 1</t>
        </is>
      </c>
      <c r="Z66" s="111" t="inlineStr">
        <is>
          <t>Tier 2</t>
        </is>
      </c>
      <c r="AA66" s="114" t="inlineStr">
        <is>
          <t>Supportive</t>
        </is>
      </c>
      <c r="AB66" s="111" t="inlineStr">
        <is>
          <t>The frame predicts a speaker and a captured medium; the hymn presents Speech herself as acting power.</t>
        </is>
      </c>
      <c r="AC66" s="111" t="inlineStr">
        <is>
          <t>Counterexample</t>
        </is>
      </c>
      <c r="AD66" s="111" t="inlineStr">
        <is>
          <t>This is ritual and theological self-assertion, not a manifesto for modern individual expression.</t>
        </is>
      </c>
      <c r="AE66" s="111" t="inlineStr">
        <is>
          <t>Ancient textual core</t>
        </is>
      </c>
      <c r="AF66" s="111" t="inlineStr">
        <is>
          <t>Ancient core: Vāc speaks as cosmic agency. Fictional layer: recruiting her as a constitutional witness or spokesperson for a modern rights regime.</t>
        </is>
      </c>
      <c r="AG66" s="111" t="inlineStr">
        <is>
          <t>UF-01; AD-01</t>
        </is>
      </c>
    </row>
    <row r="67" ht="150" customHeight="1" s="61">
      <c r="A67" s="111" t="inlineStr">
        <is>
          <t>VA-006</t>
        </is>
      </c>
      <c r="B67" s="111" t="inlineStr">
        <is>
          <t>VA-01</t>
        </is>
      </c>
      <c r="C67" s="111" t="inlineStr">
        <is>
          <t>Voice / Authorship / Signal Capture</t>
        </is>
      </c>
      <c r="D67" s="111" t="inlineStr">
        <is>
          <t>Wild music and amplified collective signal</t>
        </is>
      </c>
      <c r="E67" s="111" t="inlineStr">
        <is>
          <t>Greek to Imperial reception</t>
        </is>
      </c>
      <c r="F67" s="111" t="inlineStr">
        <is>
          <t>Pan and panic signal</t>
        </is>
      </c>
      <c r="G67" s="111" t="inlineStr">
        <is>
          <t>Early Pan is a pastoral musician; Herodotus reports his claimed aid to Athens; much later Polyainos describes a mass nocturnal shout amplified by terrain and Echo that routs an enemy.</t>
        </is>
      </c>
      <c r="H67" s="111" t="inlineStr">
        <is>
          <t>Unowned landscape and collective sound can amplify a signal beyond any single author, but the result may be coercive rather than emancipatory.</t>
        </is>
      </c>
      <c r="I67" s="111" t="inlineStr">
        <is>
          <t>A leader organizes people, terrain, fear, and repetition into psychological force.</t>
        </is>
      </c>
      <c r="J67" s="111" t="inlineStr">
        <is>
          <t>The effect depends on bodies and acoustic terrain Pan does not fully own.</t>
        </is>
      </c>
      <c r="K67" s="111" t="inlineStr">
        <is>
          <t>Echo; rumor/Fama; battlefield signal</t>
        </is>
      </c>
      <c r="L67" s="111" t="inlineStr">
        <is>
          <t>Tier 2</t>
        </is>
      </c>
      <c r="M67" s="111" t="inlineStr">
        <is>
          <t>Needs source pass; chronology separated</t>
        </is>
      </c>
      <c r="N67" s="111" t="inlineStr">
        <is>
          <t>Do not back-project the late panic stratagem into the Homeric Hymn or claim Pan defeated Typhon with a shout.</t>
        </is>
      </c>
      <c r="O67" s="111" t="inlineStr">
        <is>
          <t>Homeric Hymn 19; Herodotus 6.105; Polyainos 1.2</t>
        </is>
      </c>
      <c r="P67" s="111" t="inlineStr">
        <is>
          <t>Hymn to Pan; Histories; Stratagems</t>
        </is>
      </c>
      <c r="Q67" s="111" t="inlineStr">
        <is>
          <t>HH 19.1-49; Hdt. 6.105; Polyainos 1.2</t>
        </is>
      </c>
      <c r="R67" s="111" t="inlineStr">
        <is>
          <t>Oxford Classical Dictionary, Pan; scholarship on panikon/panic chronology</t>
        </is>
      </c>
      <c r="S67" s="111" t="inlineStr">
        <is>
          <t>Build a source-layer table: pastoral music, Athenian cult claim, and late military amplification. Which layer supports which inference?</t>
        </is>
      </c>
      <c r="T67" s="111" t="inlineStr">
        <is>
          <t>Useful only when chronology is the point; otherwise it becomes a fabricated timeless Pan package.</t>
        </is>
      </c>
      <c r="U67" s="111" t="inlineStr">
        <is>
          <t>High risk of fusing sources centuries apart and confusing Aigipan with Pan.</t>
        </is>
      </c>
      <c r="V67" s="111" t="inlineStr">
        <is>
          <t>Verify each passage in edition and decide whether to keep as one layered row or split.</t>
        </is>
      </c>
      <c r="W67" s="112" t="inlineStr">
        <is>
          <t>https://www.perseus.tufts.edu/hopper/text?doc=Perseus%3Atext%3A1999.01.0126%3Abook%3D6%3Achapter%3D105</t>
        </is>
      </c>
      <c r="X67" s="111" t="inlineStr">
        <is>
          <t>2026-08-18</t>
        </is>
      </c>
      <c r="Y67" s="111" t="inlineStr">
        <is>
          <t>Tier 1-2</t>
        </is>
      </c>
      <c r="Z67" s="111" t="inlineStr">
        <is>
          <t>Tier 2</t>
        </is>
      </c>
      <c r="AA67" s="115" t="inlineStr">
        <is>
          <t>Source-pass</t>
        </is>
      </c>
      <c r="AB67" s="111" t="inlineStr">
        <is>
          <t>The frame predicts a voice captured by a center; the late stratagem is collective amplification directed by a leader.</t>
        </is>
      </c>
      <c r="AC67" s="111" t="inlineStr">
        <is>
          <t>Partial fit</t>
        </is>
      </c>
      <c r="AD67" s="111" t="inlineStr">
        <is>
          <t>Early Pan is primarily pastoral, musical, sexual, and epiphanic; weaponized panic is a later reception layer.</t>
        </is>
      </c>
      <c r="AE67" s="111" t="inlineStr">
        <is>
          <t>Mixed — separate layers</t>
        </is>
      </c>
      <c r="AF67" s="111" t="inlineStr">
        <is>
          <t>Ancient layers must remain dated and separate. Fictional layer: Pan as architect of mass communications, Typhon-defeating shout, or permanent commander of Echo.</t>
        </is>
      </c>
      <c r="AG67" s="111" t="inlineStr">
        <is>
          <t>TR-01; TH-01</t>
        </is>
      </c>
    </row>
    <row r="68" ht="150" customHeight="1" s="61">
      <c r="A68" s="111" t="inlineStr">
        <is>
          <t>VA-007</t>
        </is>
      </c>
      <c r="B68" s="111" t="inlineStr">
        <is>
          <t>VA-01</t>
        </is>
      </c>
      <c r="C68" s="111" t="inlineStr">
        <is>
          <t>Voice / Authorship / Signal Capture</t>
        </is>
      </c>
      <c r="D68" s="111" t="inlineStr">
        <is>
          <t>Body destroyed; imitative signal dispersed</t>
        </is>
      </c>
      <c r="E68" s="111" t="inlineStr">
        <is>
          <t>Imperial Greek literary reception</t>
        </is>
      </c>
      <c r="F68" s="111" t="inlineStr">
        <is>
          <t>Echo (Longus)</t>
        </is>
      </c>
      <c r="G68" s="111" t="inlineStr">
        <is>
          <t>In Longus, Pan retaliates after Echo rejects him; maddened herders tear her apart, Earth receives the pieces, and the dispersed voice continues imitating sounds.</t>
        </is>
      </c>
      <c r="H68" s="111" t="inlineStr">
        <is>
          <t>Violence can destroy a speaker's body while multiplying an uncontrollable remainder through the environment.</t>
        </is>
      </c>
      <c r="I68" s="111" t="inlineStr">
        <is>
          <t>Possessive retaliation tries to convert an autonomous musician into silence; the landscape preserves effects it does not authenticate.</t>
        </is>
      </c>
      <c r="J68" s="111" t="inlineStr">
        <is>
          <t>The voice persists without the body, but imitation alone does not guarantee memory, truth, or intention.</t>
        </is>
      </c>
      <c r="K68" s="111" t="inlineStr">
        <is>
          <t>Ovid's Echo; Philomela; distributed remainder</t>
        </is>
      </c>
      <c r="L68" s="111" t="inlineStr">
        <is>
          <t>Tier 1-2</t>
        </is>
      </c>
      <c r="M68" s="111" t="inlineStr">
        <is>
          <t>Anchored (v0.21); passage located</t>
        </is>
      </c>
      <c r="N68" s="111" t="inlineStr">
        <is>
          <t>Longus is Greek-language but later than Ovid; do not call this the older Greek version or fuse it with Juno's punishment.</t>
        </is>
      </c>
      <c r="O68" s="111" t="inlineStr">
        <is>
          <t>Longus, Daphnis and Chloe 3.23.1-4</t>
        </is>
      </c>
      <c r="P68" s="111" t="inlineStr">
        <is>
          <t>Daphnis and Chloe, Book 3</t>
        </is>
      </c>
      <c r="Q68" s="111" t="inlineStr">
        <is>
          <t>3.23.1-4</t>
        </is>
      </c>
      <c r="R68" s="111" t="inlineStr">
        <is>
          <t>Commentary on Longus 3.23; studies of Echo and pastoral violence</t>
        </is>
      </c>
      <c r="S68" s="111" t="inlineStr">
        <is>
          <t>What survives: authorial intention, sound pattern, or only an acoustic effect? Keep those distinct.</t>
        </is>
      </c>
      <c r="T68" s="111" t="inlineStr">
        <is>
          <t>The row supplies a darker story bridge than Ovid, but its remainder is ambiguous rather than automatically liberatory.</t>
        </is>
      </c>
      <c r="U68" s="111" t="inlineStr">
        <is>
          <t>Do not say Gaia deliberately safeguards an archive; Earth receiving the fragments is not a constitutional act.</t>
        </is>
      </c>
      <c r="V68" s="111" t="inlineStr">
        <is>
          <t>Verify text/translation and add a modern commentary.</t>
        </is>
      </c>
      <c r="W68" s="112" t="inlineStr">
        <is>
          <t>https://en.wikisource.org/wiki/Daphnis_and_Chloe_%28Thornley_translation%29/Book_3</t>
        </is>
      </c>
      <c r="X68" s="111" t="inlineStr">
        <is>
          <t>2026-08-18</t>
        </is>
      </c>
      <c r="Y68" s="111" t="inlineStr">
        <is>
          <t>Tier 1</t>
        </is>
      </c>
      <c r="Z68" s="111" t="inlineStr">
        <is>
          <t>Tier 2</t>
        </is>
      </c>
      <c r="AA68" s="114" t="inlineStr">
        <is>
          <t>Supportive</t>
        </is>
      </c>
      <c r="AB68" s="111" t="inlineStr">
        <is>
          <t>The frame predicts preserved meaning; the tale guarantees continuing sound, not faithful content.</t>
        </is>
      </c>
      <c r="AC68" s="111" t="inlineStr">
        <is>
          <t>Partial fit</t>
        </is>
      </c>
      <c r="AD68" s="111" t="inlineStr">
        <is>
          <t>The episode is pastoral horror and sound-aetiology; persistence need not equal political resistance.</t>
        </is>
      </c>
      <c r="AE68" s="111" t="inlineStr">
        <is>
          <t>Later literary reception</t>
        </is>
      </c>
      <c r="AF68" s="111" t="inlineStr">
        <is>
          <t>Ancient literary core: Pan's retaliation, dismemberment, Earth receiving fragments, imitative sound surviving. Fictional layer: a conscious distributed archive or Echo commanding every repeated voice.</t>
        </is>
      </c>
      <c r="AG68" s="111" t="inlineStr">
        <is>
          <t>DR-01; DF-01</t>
        </is>
      </c>
    </row>
    <row r="69" ht="150" customHeight="1" s="61">
      <c r="A69" s="111" t="inlineStr">
        <is>
          <t>AD-003</t>
        </is>
      </c>
      <c r="B69" s="111" t="inlineStr">
        <is>
          <t>AD-01</t>
        </is>
      </c>
      <c r="C69" s="111" t="inlineStr">
        <is>
          <t>Asha / Druj Functional Lens</t>
        </is>
      </c>
      <c r="D69" s="111" t="inlineStr">
        <is>
          <t>Internal complaint channel</t>
        </is>
      </c>
      <c r="E69" s="111" t="inlineStr">
        <is>
          <t>Greek didactic poetry</t>
        </is>
      </c>
      <c r="F69" s="111" t="inlineStr">
        <is>
          <t>Dike</t>
        </is>
      </c>
      <c r="G69" s="111" t="inlineStr">
        <is>
          <t>When human rulers issue crooked judgments, Dike is mistreated among mortals, then sits beside Zeus and reports their injustice.</t>
        </is>
      </c>
      <c r="H69" s="111" t="inlineStr">
        <is>
          <t>A captured local procedure does not wholly erase grievance if an escalation channel remains legible at a higher level.</t>
        </is>
      </c>
      <c r="I69" s="111" t="inlineStr">
        <is>
          <t>Justice functions as witness and reporter inside Zeus's order, not as an external sovereign court.</t>
        </is>
      </c>
      <c r="J69" s="111" t="inlineStr">
        <is>
          <t>The complaint survives local distortion and can trigger collective consequence.</t>
        </is>
      </c>
      <c r="K69" s="111" t="inlineStr">
        <is>
          <t>Cassandra; audit channel; Asha/Druj lens</t>
        </is>
      </c>
      <c r="L69" s="111" t="inlineStr">
        <is>
          <t>Tier 1-2</t>
        </is>
      </c>
      <c r="M69" s="111" t="inlineStr">
        <is>
          <t>Anchored (v0.21); primary passage located</t>
        </is>
      </c>
      <c r="N69" s="111" t="inlineStr">
        <is>
          <t>Dike audits human kings, not Zeus. 'Appeals court,' 'natural justice,' and rule-of-law language are modern analogies.</t>
        </is>
      </c>
      <c r="O69" s="111" t="inlineStr">
        <is>
          <t>Hesiod, Works and Days 213-285; Theogony 901-906</t>
        </is>
      </c>
      <c r="P69" s="111" t="inlineStr">
        <is>
          <t>Works and Days; Theogony</t>
        </is>
      </c>
      <c r="Q69" s="111" t="inlineStr">
        <is>
          <t>WD 220-224, 256-262; Th. 901-906</t>
        </is>
      </c>
      <c r="R69" s="111" t="inlineStr">
        <is>
          <t>Scholarship on justice and crooked kings in Hesiod</t>
        </is>
      </c>
      <c r="S69" s="111" t="inlineStr">
        <is>
          <t>Is Dike independent oversight, an internal escalation path, or a device that strengthens Zeus's sovereignty?</t>
        </is>
      </c>
      <c r="T69" s="111" t="inlineStr">
        <is>
          <t>Best used as an internal-channel comparator, not as evidence that Zeus can be tried by his daughter.</t>
        </is>
      </c>
      <c r="U69" s="111" t="inlineStr">
        <is>
          <t>High if used to authorize a fictional court over Zeus without declaring the invention.</t>
        </is>
      </c>
      <c r="V69" s="111" t="inlineStr">
        <is>
          <t>Add one specialist source on Hesiodic political justice.</t>
        </is>
      </c>
      <c r="W69" s="112" t="inlineStr">
        <is>
          <t>https://chs.harvard.edu/primary-source/hesiod-works-and-days-sb/</t>
        </is>
      </c>
      <c r="X69" s="111" t="inlineStr">
        <is>
          <t>2026-08-18</t>
        </is>
      </c>
      <c r="Y69" s="111" t="inlineStr">
        <is>
          <t>Tier 1</t>
        </is>
      </c>
      <c r="Z69" s="111" t="inlineStr">
        <is>
          <t>Tier 2</t>
        </is>
      </c>
      <c r="AA69" s="114" t="inlineStr">
        <is>
          <t>Supportive</t>
        </is>
      </c>
      <c r="AB69" s="111" t="inlineStr">
        <is>
          <t>The frame may predict independent oversight; Dike's authority routes directly through her father.</t>
        </is>
      </c>
      <c r="AC69" s="111" t="inlineStr">
        <is>
          <t>Partial fit</t>
        </is>
      </c>
      <c r="AD69" s="111" t="inlineStr">
        <is>
          <t>Dike reinforces Zeus's sovereignty by reporting to him and activating his punishment.</t>
        </is>
      </c>
      <c r="AE69" s="111" t="inlineStr">
        <is>
          <t>Ancient textual core</t>
        </is>
      </c>
      <c r="AF69" s="111" t="inlineStr">
        <is>
          <t>Ancient core: Dike reports crooked human judgments to Zeus. Fictional layer: Dike audits Zeus, revokes his mandate, or presides over an independent supreme court.</t>
        </is>
      </c>
      <c r="AG69" s="111" t="inlineStr">
        <is>
          <t>VA-01</t>
        </is>
      </c>
    </row>
    <row r="70" ht="150" customHeight="1" s="61">
      <c r="A70" s="111" t="inlineStr">
        <is>
          <t>UF-007</t>
        </is>
      </c>
      <c r="B70" s="111" t="inlineStr">
        <is>
          <t>UF-01</t>
        </is>
      </c>
      <c r="C70" s="111" t="inlineStr">
        <is>
          <t>Uncontained / Co-opted Feminine</t>
        </is>
      </c>
      <c r="D70" s="111" t="inlineStr">
        <is>
          <t>Sovereign intelligence swallowed</t>
        </is>
      </c>
      <c r="E70" s="111" t="inlineStr">
        <is>
          <t>Greek archaic poetry</t>
        </is>
      </c>
      <c r="F70" s="111" t="inlineStr">
        <is>
          <t>Metis</t>
        </is>
      </c>
      <c r="G70" s="111" t="inlineStr">
        <is>
          <t>Warned that pregnant Metis will bear first Athena and then a son destined to rule, Zeus tricks and swallows her; the poem says she will devise good and evil for him from within.</t>
        </is>
      </c>
      <c r="H70" s="111" t="inlineStr">
        <is>
          <t>The ruler prevents succession by converting an autonomous source of intelligence and reproduction into internal sovereign capacity.</t>
        </is>
      </c>
      <c r="I70" s="111" t="inlineStr">
        <is>
          <t>Capture by ingestion removes Metis as a separate actor while retaining her counsel and producing Athena through Zeus.</t>
        </is>
      </c>
      <c r="J70" s="111" t="inlineStr">
        <is>
          <t>Metis's intelligence persists within; Athena emerges as an external result.</t>
        </is>
      </c>
      <c r="K70" s="111" t="inlineStr">
        <is>
          <t>Athena; swallowed counselor; succession containment</t>
        </is>
      </c>
      <c r="L70" s="111" t="inlineStr">
        <is>
          <t>Tier 1-2</t>
        </is>
      </c>
      <c r="M70" s="111" t="inlineStr">
        <is>
          <t>Anchored (v0.21); primary passage located</t>
        </is>
      </c>
      <c r="N70" s="111" t="inlineStr">
        <is>
          <t>Hesiod may commend this as the end of violent succession. Do not invent discovery-avoidance or modern legal personality language.</t>
        </is>
      </c>
      <c r="O70" s="111" t="inlineStr">
        <is>
          <t>Hesiod, Theogony 886-900, 924-929</t>
        </is>
      </c>
      <c r="P70" s="111" t="inlineStr">
        <is>
          <t>Hesiod, Theogony</t>
        </is>
      </c>
      <c r="Q70" s="111" t="inlineStr">
        <is>
          <t>886-900; 924-929</t>
        </is>
      </c>
      <c r="R70" s="111" t="inlineStr">
        <is>
          <t>Vernant on mētis and sovereignty; Jenny Strauss Clay on Hesiodic cosmos</t>
        </is>
      </c>
      <c r="S70" s="111" t="inlineStr">
        <is>
          <t>Separate the explicit succession motive from the modern institutional-capture interpretation. What survives after swallowing?</t>
        </is>
      </c>
      <c r="T70" s="111" t="inlineStr">
        <is>
          <t>Load-bearing for a story about appropriated counsel only if the succession motive stays visible.</t>
        </is>
      </c>
      <c r="U70" s="111" t="inlineStr">
        <is>
          <t>Do not say Metis becomes Zeus's secret opposition network or has no traceable legal existence in the ancient text.</t>
        </is>
      </c>
      <c r="V70" s="111" t="inlineStr">
        <is>
          <t>Verify exact translation and add a scholarly source on Metis.</t>
        </is>
      </c>
      <c r="W70" s="112" t="inlineStr">
        <is>
          <t>https://chs.harvard.edu/primary-source/hesiod-theogony-sb/</t>
        </is>
      </c>
      <c r="X70" s="111" t="inlineStr">
        <is>
          <t>2026-08-18</t>
        </is>
      </c>
      <c r="Y70" s="111" t="inlineStr">
        <is>
          <t>Tier 1</t>
        </is>
      </c>
      <c r="Z70" s="111" t="inlineStr">
        <is>
          <t>Tier 2</t>
        </is>
      </c>
      <c r="AA70" s="113" t="inlineStr">
        <is>
          <t>Load-bearing</t>
        </is>
      </c>
      <c r="AB70" s="111" t="inlineStr">
        <is>
          <t>The frame predicts failed erasure; Hesiod may present successful sovereign completion rather than hidden resistance.</t>
        </is>
      </c>
      <c r="AC70" s="111" t="inlineStr">
        <is>
          <t>Fits</t>
        </is>
      </c>
      <c r="AD70" s="111" t="inlineStr">
        <is>
          <t>The swallowing ends the succession threat and may be narrated as prudent cosmic stabilization, not condemned capture.</t>
        </is>
      </c>
      <c r="AE70" s="111" t="inlineStr">
        <is>
          <t>Ancient textual core</t>
        </is>
      </c>
      <c r="AF70" s="111" t="inlineStr">
        <is>
          <t>Ancient core: succession warning, swallowing, internal counsel, Athena's emergence. Fictional layer: untraceable advice, secret filings, or Metis actively sabotaging Zeus from within.</t>
        </is>
      </c>
      <c r="AG70" s="111" t="inlineStr">
        <is>
          <t>VA-01; SC-01</t>
        </is>
      </c>
    </row>
    <row r="71" ht="150" customHeight="1" s="61">
      <c r="A71" s="111" t="inlineStr">
        <is>
          <t>UF-008</t>
        </is>
      </c>
      <c r="B71" s="111" t="inlineStr">
        <is>
          <t>UF-01</t>
        </is>
      </c>
      <c r="C71" s="111" t="inlineStr">
        <is>
          <t>Uncontained / Co-opted Feminine</t>
        </is>
      </c>
      <c r="D71" s="111" t="inlineStr">
        <is>
          <t>Primordial limit accommodated</t>
        </is>
      </c>
      <c r="E71" s="111" t="inlineStr">
        <is>
          <t>Greek archaic epic and cosmogony</t>
        </is>
      </c>
      <c r="F71" s="111" t="inlineStr">
        <is>
          <t>Nyx</t>
        </is>
      </c>
      <c r="G71" s="111" t="inlineStr">
        <is>
          <t>Night appears near the beginning of Hesiod's genealogy. In the Iliad, Hypnos recalls taking refuge with Nyx; Zeus refrains from action because he stands in awe of or avoids offending her.</t>
        </is>
      </c>
      <c r="H71" s="111" t="inlineStr">
        <is>
          <t>A ruler may leave a primordial zone unviolated because enforcement would be improper, costly, or dangerous.</t>
        </is>
      </c>
      <c r="I71" s="111" t="inlineStr">
        <is>
          <t>No institutional capture is shown; this is a limit the sovereign accommodates rather than absorbs.</t>
        </is>
      </c>
      <c r="J71" s="111" t="inlineStr">
        <is>
          <t>Opacity and primordial exteriority remain outside complete Olympian enforcement.</t>
        </is>
      </c>
      <c r="K71" s="111" t="inlineStr">
        <is>
          <t>Hecate; sanctuary limit; sovereign self-restraint</t>
        </is>
      </c>
      <c r="L71" s="111" t="inlineStr">
        <is>
          <t>Tier 1-2</t>
        </is>
      </c>
      <c r="M71" s="111" t="inlineStr">
        <is>
          <t>Anchored (v0.21); primary passages located</t>
        </is>
      </c>
      <c r="N71" s="111" t="inlineStr">
        <is>
          <t>One embedded Homeric recollection cannot establish a rival constitution, sanctuary law, or Night-led opposition.</t>
        </is>
      </c>
      <c r="O71" s="111" t="inlineStr">
        <is>
          <t>Hesiod, Theogony 123-125, 211-232; Iliad 14.256-261</t>
        </is>
      </c>
      <c r="P71" s="111" t="inlineStr">
        <is>
          <t>Theogony; Iliad</t>
        </is>
      </c>
      <c r="Q71" s="111" t="inlineStr">
        <is>
          <t>Th. 123-125, 211-232; Il. 14.256-261</t>
        </is>
      </c>
      <c r="R71" s="111" t="inlineStr">
        <is>
          <t>Oxford Classical Dictionary, Nyx; Homeric commentary on Iliad 14</t>
        </is>
      </c>
      <c r="S71" s="111" t="inlineStr">
        <is>
          <t>What exactly restrains Zeus in the passage: fear, reverence, prudence, or narrative convention?</t>
        </is>
      </c>
      <c r="T71" s="111" t="inlineStr">
        <is>
          <t>Use as a sovereignty-limit comparator, not as a gatekeeper row.</t>
        </is>
      </c>
      <c r="U71" s="111" t="inlineStr">
        <is>
          <t>High if 'Zeus feared Nyx' becomes a full constitutional hierarchy.</t>
        </is>
      </c>
      <c r="V71" s="111" t="inlineStr">
        <is>
          <t>Pin the translation of the restraint verb and add a Homeric commentary.</t>
        </is>
      </c>
      <c r="W71" s="112" t="inlineStr">
        <is>
          <t>https://www.perseus.tufts.edu/hopper/text?doc=Perseus%3Atext%3A1999.01.0134%3Abook%3D14</t>
        </is>
      </c>
      <c r="X71" s="111" t="inlineStr">
        <is>
          <t>2026-08-18</t>
        </is>
      </c>
      <c r="Y71" s="111" t="inlineStr">
        <is>
          <t>Tier 1</t>
        </is>
      </c>
      <c r="Z71" s="111" t="inlineStr">
        <is>
          <t>Tier 2</t>
        </is>
      </c>
      <c r="AA71" s="114" t="inlineStr">
        <is>
          <t>Supportive</t>
        </is>
      </c>
      <c r="AB71" s="111" t="inlineStr">
        <is>
          <t>The frame predicts an administered threshold; no gate, passage rule, or exit condition appears.</t>
        </is>
      </c>
      <c r="AC71" s="111" t="inlineStr">
        <is>
          <t>Partial fit</t>
        </is>
      </c>
      <c r="AD71" s="111" t="inlineStr">
        <is>
          <t>Zeus's restraint can display mature sovereignty and proper reverence rather than weakness or external jurisdiction.</t>
        </is>
      </c>
      <c r="AE71" s="111" t="inlineStr">
        <is>
          <t>Ancient textual core</t>
        </is>
      </c>
      <c r="AF71" s="111" t="inlineStr">
        <is>
          <t>Ancient core: Nyx is primordial and Zeus refrains from offending her in Hypnos's recollection. Fictional layer: Night holds constitutional supremacy, sanctuary law, or veto over Zeus.</t>
        </is>
      </c>
      <c r="AG71" s="111" t="inlineStr">
        <is>
          <t>TH-01; AD-01</t>
        </is>
      </c>
    </row>
    <row r="72" ht="150" customHeight="1" s="61">
      <c r="A72" s="111" t="inlineStr">
        <is>
          <t>TH-001</t>
        </is>
      </c>
      <c r="B72" s="111" t="inlineStr">
        <is>
          <t>TH-01</t>
        </is>
      </c>
      <c r="C72" s="111" t="inlineStr">
        <is>
          <t>Threshold / Exit / Jurisdiction</t>
        </is>
      </c>
      <c r="D72" s="111" t="inlineStr">
        <is>
          <t>Status stripped at sequential gates; exit by substitution</t>
        </is>
      </c>
      <c r="E72" s="111" t="inlineStr">
        <is>
          <t>Sumerian literary tradition</t>
        </is>
      </c>
      <c r="F72" s="111" t="inlineStr">
        <is>
          <t>Inanna's descent</t>
        </is>
      </c>
      <c r="G72" s="111" t="inlineStr">
        <is>
          <t>At seven gates Inanna is made to surrender items of power and status; she is killed, revived, and cannot leave the underworld without providing a substitute.</t>
        </is>
      </c>
      <c r="H72" s="111" t="inlineStr">
        <is>
          <t>A passage system can transform jurisdiction by extracting status at each gate and making exit conditional on a replacement debt.</t>
        </is>
      </c>
      <c r="I72" s="111" t="inlineStr">
        <is>
          <t>Gatekeepers enforce a rule no traveler can bypass merely by rank; return requires negotiation and transfer of liability.</t>
        </is>
      </c>
      <c r="J72" s="111" t="inlineStr">
        <is>
          <t>Inanna returns, but the route produces a durable death-debt and redistributes consequence.</t>
        </is>
      </c>
      <c r="K72" s="111" t="inlineStr">
        <is>
          <t>Egyptian named gates; Persephone; Wukong's ledger attack</t>
        </is>
      </c>
      <c r="L72" s="111" t="inlineStr">
        <is>
          <t>Tier 1-2</t>
        </is>
      </c>
      <c r="M72" s="111" t="inlineStr">
        <is>
          <t>Anchored (v0.21); ETCSL passage located</t>
        </is>
      </c>
      <c r="N72" s="111" t="inlineStr">
        <is>
          <t>The composition is reconstructed from multiple manuscripts. Cosmic, ritual, and astral readings remain live counter-readings.</t>
        </is>
      </c>
      <c r="O72" s="111" t="inlineStr">
        <is>
          <t>Inanna's Descent to the Netherworld, ETCSL 1.4.1</t>
        </is>
      </c>
      <c r="P72" s="111" t="inlineStr">
        <is>
          <t>Inanna's Descent</t>
        </is>
      </c>
      <c r="Q72" s="111" t="inlineStr">
        <is>
          <t>74-172; 282-305</t>
        </is>
      </c>
      <c r="R72" s="111" t="inlineStr">
        <is>
          <t>Assyriological scholarship on the descent, gates, garments, and substitution</t>
        </is>
      </c>
      <c r="S72" s="111" t="inlineStr">
        <is>
          <t>List each gate rule and the exit condition. Which are explicit, and which political functions are interpretive?</t>
        </is>
      </c>
      <c r="T72" s="111" t="inlineStr">
        <is>
          <t>Strongest load-bearing threshold row because passage changes status and return carries a stated cost.</t>
        </is>
      </c>
      <c r="U72" s="111" t="inlineStr">
        <is>
          <t>Do not call it secular bureaucracy or a universal initiatory passport system.</t>
        </is>
      </c>
      <c r="V72" s="111" t="inlineStr">
        <is>
          <t>Verify against a current edition and add manuscript/composite note.</t>
        </is>
      </c>
      <c r="W72" s="112" t="inlineStr">
        <is>
          <t>https://etcsl.orinst.ox.ac.uk/section1/tr141.htm</t>
        </is>
      </c>
      <c r="X72" s="111" t="inlineStr">
        <is>
          <t>2026-08-18</t>
        </is>
      </c>
      <c r="Y72" s="111" t="inlineStr">
        <is>
          <t>Tier 1</t>
        </is>
      </c>
      <c r="Z72" s="111" t="inlineStr">
        <is>
          <t>Tier 2</t>
        </is>
      </c>
      <c r="AA72" s="113" t="inlineStr">
        <is>
          <t>Load-bearing</t>
        </is>
      </c>
      <c r="AB72" s="111" t="inlineStr">
        <is>
          <t>The frame may predict a permanent captive; Inanna returns through a costly but usable procedure.</t>
        </is>
      </c>
      <c r="AC72" s="111" t="inlineStr">
        <is>
          <t>Fits</t>
        </is>
      </c>
      <c r="AD72" s="111" t="inlineStr">
        <is>
          <t>The descent can be cosmic, ritual, or astral drama rather than criticism of administration.</t>
        </is>
      </c>
      <c r="AE72" s="111" t="inlineStr">
        <is>
          <t>Ancient textual core</t>
        </is>
      </c>
      <c r="AF72" s="111" t="inlineStr">
        <is>
          <t>Ancient core: seven gates strip regalia; exit requires substitution. Fictional layer: a universal constitutional exit clause or Hecate-created bypass.</t>
        </is>
      </c>
      <c r="AG72" s="111" t="inlineStr">
        <is>
          <t>DT-01; UF-01</t>
        </is>
      </c>
    </row>
    <row r="73" ht="150" customHeight="1" s="61">
      <c r="A73" s="111" t="inlineStr">
        <is>
          <t>TH-002</t>
        </is>
      </c>
      <c r="B73" s="111" t="inlineStr">
        <is>
          <t>TH-01</t>
        </is>
      </c>
      <c r="C73" s="111" t="inlineStr">
        <is>
          <t>Threshold / Exit / Jurisdiction</t>
        </is>
      </c>
      <c r="D73" s="111" t="inlineStr">
        <is>
          <t>Jurisdiction defeated by editing its controlling record</t>
        </is>
      </c>
      <c r="E73" s="111" t="inlineStr">
        <is>
          <t>Ming Chinese vernacular fiction</t>
        </is>
      </c>
      <c r="F73" s="111" t="inlineStr">
        <is>
          <t>Sun Wukong in the underworld</t>
        </is>
      </c>
      <c r="G73" s="111" t="inlineStr">
        <is>
          <t>Dragged to the underworld in error, Wukong forces access to the registers of life and death and strikes out his own name and those of the monkeys.</t>
        </is>
      </c>
      <c r="H73" s="111" t="inlineStr">
        <is>
          <t>Instead of pleading at the gate, the outsider attacks the ledger that gives the jurisdiction power over passage and mortality.</t>
        </is>
      </c>
      <c r="I73" s="111" t="inlineStr">
        <is>
          <t>Administrative control is embodied in a record; coercive access lets Wukong create a narrow exemption for himself and his group.</t>
        </is>
      </c>
      <c r="J73" s="111" t="inlineStr">
        <is>
          <t>The monkeys gain extended life, but the system and its jurisdiction survive beyond the edited entries.</t>
        </is>
      </c>
      <c r="K73" s="111" t="inlineStr">
        <is>
          <t>Inanna; Egyptian gates; death ledger</t>
        </is>
      </c>
      <c r="L73" s="111" t="inlineStr">
        <is>
          <t>Tier 1-2</t>
        </is>
      </c>
      <c r="M73" s="111" t="inlineStr">
        <is>
          <t>Anchored (v0.21); chapter located</t>
        </is>
      </c>
      <c r="N73" s="111" t="inlineStr">
        <is>
          <t>This is armed self-exemption, not due process, universal liberation, or a plural-route constitution.</t>
        </is>
      </c>
      <c r="O73" s="111" t="inlineStr">
        <is>
          <t>Journey to the West, chapter 3</t>
        </is>
      </c>
      <c r="P73" s="111" t="inlineStr">
        <is>
          <t>Wu Cheng'en, Journey to the West</t>
        </is>
      </c>
      <c r="Q73" s="111" t="inlineStr">
        <is>
          <t>Chapter 3: underworld summons and life-and-death registers</t>
        </is>
      </c>
      <c r="R73" s="111" t="inlineStr">
        <is>
          <t>Anthony C. Yu translation and scholarship on the novel's religious bureaucracy</t>
        </is>
      </c>
      <c r="S73" s="111" t="inlineStr">
        <is>
          <t>What does Wukong change: the gate, the jurisdiction, the record, or only selected names?</t>
        </is>
      </c>
      <c r="T73" s="111" t="inlineStr">
        <is>
          <t>A near-perfect comparison to modern record power precisely because his victory is partial and coercive.</t>
        </is>
      </c>
      <c r="U73" s="111" t="inlineStr">
        <is>
          <t>Do not flatten Chinese religious traditions into the novel's comic celestial bureaucracy.</t>
        </is>
      </c>
      <c r="V73" s="111" t="inlineStr">
        <is>
          <t>Pin page range in Yu; add one specialist source on underworld administration in the novel.</t>
        </is>
      </c>
      <c r="W73" s="112" t="inlineStr">
        <is>
          <t>https://ctext.org/xiyouji/ch3</t>
        </is>
      </c>
      <c r="X73" s="111" t="inlineStr">
        <is>
          <t>2026-08-18</t>
        </is>
      </c>
      <c r="Y73" s="111" t="inlineStr">
        <is>
          <t>Tier 1</t>
        </is>
      </c>
      <c r="Z73" s="111" t="inlineStr">
        <is>
          <t>Tier 2</t>
        </is>
      </c>
      <c r="AA73" s="113" t="inlineStr">
        <is>
          <t>Load-bearing</t>
        </is>
      </c>
      <c r="AB73" s="111" t="inlineStr">
        <is>
          <t>The frame predicts institutional reform; Wukong secures personal and kin exemptions by force.</t>
        </is>
      </c>
      <c r="AC73" s="111" t="inlineStr">
        <is>
          <t>Fits</t>
        </is>
      </c>
      <c r="AD73" s="111" t="inlineStr">
        <is>
          <t>He does not create due process or free everyone; he edits a ledger for himself and the monkeys.</t>
        </is>
      </c>
      <c r="AE73" s="111" t="inlineStr">
        <is>
          <t>Medieval / early-modern literary</t>
        </is>
      </c>
      <c r="AF73" s="111" t="inlineStr">
        <is>
          <t>Canonical novel layer: underworld coercion and ledger edits in chapter 3. Fictional layer: a universal exit right, lawful audit, or the 'Seventy-Third Change.'</t>
        </is>
      </c>
      <c r="AG73" s="111" t="inlineStr">
        <is>
          <t>TR-01; DT-01</t>
        </is>
      </c>
    </row>
    <row r="74" ht="150" customHeight="1" s="61">
      <c r="A74" s="111" t="inlineStr">
        <is>
          <t>TH-003</t>
        </is>
      </c>
      <c r="B74" s="111" t="inlineStr">
        <is>
          <t>TH-01</t>
        </is>
      </c>
      <c r="C74" s="111" t="inlineStr">
        <is>
          <t>Threshold / Exit / Jurisdiction</t>
        </is>
      </c>
      <c r="D74" s="111" t="inlineStr">
        <is>
          <t>Named-gate authentication</t>
        </is>
      </c>
      <c r="E74" s="111" t="inlineStr">
        <is>
          <t>Ancient Egyptian funerary corpus</t>
        </is>
      </c>
      <c r="F74" s="111" t="inlineStr">
        <is>
          <t>Book of the Dead gate spells</t>
        </is>
      </c>
      <c r="G74" s="111" t="inlineStr">
        <is>
          <t>In spells such as 144 and 146, the deceased must know names and declarations associated with gates, guardians, and heralds to pass through the afterlife.</t>
        </is>
      </c>
      <c r="H74" s="111" t="inlineStr">
        <is>
          <t>Passage depends on authenticated knowledge: the route exists, but competence and textual provision affect usability.</t>
        </is>
      </c>
      <c r="I74" s="111" t="inlineStr">
        <is>
          <t>Funerary specialists and artifacts can mediate access, though the corpus is variable rather than a single standardized office manual.</t>
        </is>
      </c>
      <c r="J74" s="111" t="inlineStr">
        <is>
          <t>The deceased can move by learning and performing the route rather than defeating its keepers.</t>
        </is>
      </c>
      <c r="K74" s="111" t="inlineStr">
        <is>
          <t>Inanna; Janus; password/gatekeeping systems</t>
        </is>
      </c>
      <c r="L74" s="111" t="inlineStr">
        <is>
          <t>Tier 2</t>
        </is>
      </c>
      <c r="M74" s="111" t="inlineStr">
        <is>
          <t>Needs source pass; spell numbers located</t>
        </is>
      </c>
      <c r="N74" s="111" t="inlineStr">
        <is>
          <t>These are variable funerary compositions with long transmission histories, not a secular passport bureaucracy. Use museum/edition-specific witnesses.</t>
        </is>
      </c>
      <c r="O74" s="111" t="inlineStr">
        <is>
          <t>Book of the Dead, Spells 144 and 146</t>
        </is>
      </c>
      <c r="P74" s="111" t="inlineStr">
        <is>
          <t>Named papyrus witness and scholarly edition needed</t>
        </is>
      </c>
      <c r="Q74" s="111" t="inlineStr">
        <is>
          <t>Spells 144 and 146; verify wording by manuscript</t>
        </is>
      </c>
      <c r="R74" s="111" t="inlineStr">
        <is>
          <t>British Museum and academic work on Book of the Dead gates and guides</t>
        </is>
      </c>
      <c r="S74" s="111" t="inlineStr">
        <is>
          <t>Which gate names and actions are present in a named witness, and what role does specialist production play?</t>
        </is>
      </c>
      <c r="T74" s="111" t="inlineStr">
        <is>
          <t>Valuable comparison if material specificity replaces the generic 'Egyptian death book' shorthand.</t>
        </is>
      </c>
      <c r="U74" s="111" t="inlineStr">
        <is>
          <t>High source hazard if variant spells and periods are collapsed into one administrative system.</t>
        </is>
      </c>
      <c r="V74" s="111" t="inlineStr">
        <is>
          <t>Choose a named papyrus/edition and enter exact spell passages.</t>
        </is>
      </c>
      <c r="W74" s="112" t="inlineStr">
        <is>
          <t>https://www.britishmuseum.org/learn/schools/ages-7-11/ancient-egypt/journey-afterlife</t>
        </is>
      </c>
      <c r="X74" s="111" t="inlineStr">
        <is>
          <t>2026-08-18</t>
        </is>
      </c>
      <c r="Y74" s="111" t="inlineStr">
        <is>
          <t>Tier 1-2</t>
        </is>
      </c>
      <c r="Z74" s="111" t="inlineStr">
        <is>
          <t>Tier 2</t>
        </is>
      </c>
      <c r="AA74" s="115" t="inlineStr">
        <is>
          <t>Source-pass</t>
        </is>
      </c>
      <c r="AB74" s="111" t="inlineStr">
        <is>
          <t>The frame predicts a monopolized gate; the texts may function as ritual competence and care for the dead.</t>
        </is>
      </c>
      <c r="AC74" s="111" t="inlineStr">
        <is>
          <t>Partial fit</t>
        </is>
      </c>
      <c r="AD74" s="111" t="inlineStr">
        <is>
          <t>The spells equip the deceased for ritual passage; calling them bureaucracy may flatten their funerary and cosmological work.</t>
        </is>
      </c>
      <c r="AE74" s="111" t="inlineStr">
        <is>
          <t>Mixed — separate layers</t>
        </is>
      </c>
      <c r="AF74" s="111" t="inlineStr">
        <is>
          <t>Ancient core must be tied to a named papyrus and spell variant. Fictional layer: one universal passport office, database, or standardized password regime.</t>
        </is>
      </c>
      <c r="AG74" s="111" t="inlineStr">
        <is>
          <t>DT-01; DV-01</t>
        </is>
      </c>
    </row>
    <row r="75" ht="150" customHeight="1" s="61">
      <c r="A75" s="111" t="inlineStr">
        <is>
          <t>TH-004</t>
        </is>
      </c>
      <c r="B75" s="111" t="inlineStr">
        <is>
          <t>TH-01</t>
        </is>
      </c>
      <c r="C75" s="111" t="inlineStr">
        <is>
          <t>Threshold / Exit / Jurisdiction</t>
        </is>
      </c>
      <c r="D75" s="111" t="inlineStr">
        <is>
          <t>Escape followed by permanent closure</t>
        </is>
      </c>
      <c r="E75" s="111" t="inlineStr">
        <is>
          <t>Japanese early literary tradition</t>
        </is>
      </c>
      <c r="F75" s="111" t="inlineStr">
        <is>
          <t>Izanagi's escape from Yomi</t>
        </is>
      </c>
      <c r="G75" s="111" t="inlineStr">
        <is>
          <t>Izanagi flees Yomi, blocks the slope with a great rock, and exchanges words with Izanami across the sealed boundary before purification.</t>
        </is>
      </c>
      <c r="H75" s="111" t="inlineStr">
        <is>
          <t>An exit can remain usable only once: the escapee survives by closing the road and institutionalizing separation.</t>
        </is>
      </c>
      <c r="I75" s="111" t="inlineStr">
        <is>
          <t>Boundary-making follows flight; safety for one side becomes permanent closure between jurisdictions.</t>
        </is>
      </c>
      <c r="J75" s="111" t="inlineStr">
        <is>
          <t>Purification and the boundary endure, but open reciprocity between living and dead does not.</t>
        </is>
      </c>
      <c r="K75" s="111" t="inlineStr">
        <is>
          <t>Janus; Inanna; Orpheus as later comparator</t>
        </is>
      </c>
      <c r="L75" s="111" t="inlineStr">
        <is>
          <t>Tier 1-2</t>
        </is>
      </c>
      <c r="M75" s="111" t="inlineStr">
        <is>
          <t>Anchored (v0.21); Kojiki episode located</t>
        </is>
      </c>
      <c r="N75" s="111" t="inlineStr">
        <is>
          <t>The episode explains death, pollution, purification, and separation. Do not generalize it into a claim about all Shinto thought.</t>
        </is>
      </c>
      <c r="O75" s="111" t="inlineStr">
        <is>
          <t>Kojiki, Book I, Yomi episodes</t>
        </is>
      </c>
      <c r="P75" s="111" t="inlineStr">
        <is>
          <t>Kojiki</t>
        </is>
      </c>
      <c r="Q75" s="111" t="inlineStr">
        <is>
          <t>Yomi sequence, commonly chapters 9-11 by modern division</t>
        </is>
      </c>
      <c r="R75" s="111" t="inlineStr">
        <is>
          <t>Kokugakuin Kojiki project; scholarship on Yomi and purification</t>
        </is>
      </c>
      <c r="S75" s="111" t="inlineStr">
        <is>
          <t>Does the episode protect exit, abolish it, or transform the relation between jurisdictions?</t>
        </is>
      </c>
      <c r="T75" s="111" t="inlineStr">
        <is>
          <t>Strong counterexample to the idea that a heroic exit naturally produces an open route for others.</t>
        </is>
      </c>
      <c r="U75" s="111" t="inlineStr">
        <is>
          <t>Living-tradition and translation care; avoid pan-Japanese religious conclusions.</t>
        </is>
      </c>
      <c r="V75" s="111" t="inlineStr">
        <is>
          <t>Pin the passage in a cited translation and add a Japanese-studies source.</t>
        </is>
      </c>
      <c r="W75" s="112" t="inlineStr">
        <is>
          <t>https://kojiki.kokugakuin.ac.jp/kojiki-en/</t>
        </is>
      </c>
      <c r="X75" s="111" t="inlineStr">
        <is>
          <t>2026-08-18</t>
        </is>
      </c>
      <c r="Y75" s="111" t="inlineStr">
        <is>
          <t>Tier 1</t>
        </is>
      </c>
      <c r="Z75" s="111" t="inlineStr">
        <is>
          <t>Tier 2</t>
        </is>
      </c>
      <c r="AA75" s="114" t="inlineStr">
        <is>
          <t>Supportive</t>
        </is>
      </c>
      <c r="AB75" s="111" t="inlineStr">
        <is>
          <t>The frame predicts preserved plural routes; the story seals the route after escape.</t>
        </is>
      </c>
      <c r="AC75" s="111" t="inlineStr">
        <is>
          <t>Counterexample</t>
        </is>
      </c>
      <c r="AD75" s="111" t="inlineStr">
        <is>
          <t>Its primary work is etiological and ritual: death, pollution, purification, and separation, not constitutional exit policy.</t>
        </is>
      </c>
      <c r="AE75" s="111" t="inlineStr">
        <is>
          <t>Medieval / early-modern literary</t>
        </is>
      </c>
      <c r="AF75" s="111" t="inlineStr">
        <is>
          <t>Textual core: flight, boulder, boundary exchange, purification. Fictional layer: an appeal right, Hecate-style route guarantee, or universal jurisdiction doctrine.</t>
        </is>
      </c>
      <c r="AG75" s="111" t="inlineStr">
        <is>
          <t>DT-01; SG-01</t>
        </is>
      </c>
    </row>
    <row r="76" ht="150" customHeight="1" s="61">
      <c r="A76" s="111" t="inlineStr">
        <is>
          <t>TH-005</t>
        </is>
      </c>
      <c r="B76" s="111" t="inlineStr">
        <is>
          <t>TH-01</t>
        </is>
      </c>
      <c r="C76" s="111" t="inlineStr">
        <is>
          <t>Threshold / Exit / Jurisdiction</t>
        </is>
      </c>
      <c r="D76" s="111" t="inlineStr">
        <is>
          <t>Central authority to open and close</t>
        </is>
      </c>
      <c r="E76" s="111" t="inlineStr">
        <is>
          <t>Roman literary and historical tradition</t>
        </is>
      </c>
      <c r="F76" s="111" t="inlineStr">
        <is>
          <t>Janus</t>
        </is>
      </c>
      <c r="G76" s="111" t="inlineStr">
        <is>
          <t>Janus presents himself as keeper of doors and beginnings; Roman tradition links opening or closure of his gate with conditions of war and peace.</t>
        </is>
      </c>
      <c r="H76" s="111" t="inlineStr">
        <is>
          <t>Threshold power can belong to the center itself: passage is meaningful because an authorized keeper controls opening and closure.</t>
        </is>
      </c>
      <c r="I76" s="111" t="inlineStr">
        <is>
          <t>The gate becomes a public state signal and a concentrated right to define transition.</t>
        </is>
      </c>
      <c r="J76" s="111" t="inlineStr">
        <is>
          <t>The threshold remains visible and legible, but not independently open.</t>
        </is>
      </c>
      <c r="K76" s="111" t="inlineStr">
        <is>
          <t>Hecate as plural-route fiction; Izanagi; Heimdall</t>
        </is>
      </c>
      <c r="L76" s="111" t="inlineStr">
        <is>
          <t>Tier 1-2</t>
        </is>
      </c>
      <c r="M76" s="111" t="inlineStr">
        <is>
          <t>Anchored (v0.21); passages located</t>
        </is>
      </c>
      <c r="N76" s="111" t="inlineStr">
        <is>
          <t>Ovid's poetic theology and Livy's political tradition are distinct sources; neither makes Janus a liberal guarantor of exit.</t>
        </is>
      </c>
      <c r="O76" s="111" t="inlineStr">
        <is>
          <t>Ovid, Fasti 1.115-144; Livy 1.19</t>
        </is>
      </c>
      <c r="P76" s="111" t="inlineStr">
        <is>
          <t>Fasti; Ab Urbe Condita</t>
        </is>
      </c>
      <c r="Q76" s="111" t="inlineStr">
        <is>
          <t>Fasti 1.115-144; Livy 1.19</t>
        </is>
      </c>
      <c r="R76" s="111" t="inlineStr">
        <is>
          <t>Roman-religion scholarship on Janus and the Ianus Geminus</t>
        </is>
      </c>
      <c r="S76" s="111" t="inlineStr">
        <is>
          <t>Who has authority to open, close, and interpret the gate, and what does the public learn from its state?</t>
        </is>
      </c>
      <c r="T76" s="111" t="inlineStr">
        <is>
          <t>Best foil for a fictional Hecate: Janus embodies central control of the route, not route pluralism.</t>
        </is>
      </c>
      <c r="U76" s="111" t="inlineStr">
        <is>
          <t>Do not fuse every doorway, beginning, and war-gate tradition into one timeless office.</t>
        </is>
      </c>
      <c r="V76" s="111" t="inlineStr">
        <is>
          <t>Add a Roman-religion source and separate poetic from historiographic claims.</t>
        </is>
      </c>
      <c r="W76" s="112" t="inlineStr">
        <is>
          <t>https://www.theoi.com/Text/OvidFasti1.html</t>
        </is>
      </c>
      <c r="X76" s="111" t="inlineStr">
        <is>
          <t>2026-08-18</t>
        </is>
      </c>
      <c r="Y76" s="111" t="inlineStr">
        <is>
          <t>Tier 1</t>
        </is>
      </c>
      <c r="Z76" s="111" t="inlineStr">
        <is>
          <t>Tier 2</t>
        </is>
      </c>
      <c r="AA76" s="114" t="inlineStr">
        <is>
          <t>Supportive</t>
        </is>
      </c>
      <c r="AB76" s="111" t="inlineStr">
        <is>
          <t>The frame may predict a bypassing threshold power; Janus is the authorized center of opening and closure.</t>
        </is>
      </c>
      <c r="AC76" s="111" t="inlineStr">
        <is>
          <t>Partial fit</t>
        </is>
      </c>
      <c r="AD76" s="111" t="inlineStr">
        <is>
          <t>Janus represents control from the center and may stabilize sovereign order rather than protect independent passage.</t>
        </is>
      </c>
      <c r="AE76" s="111" t="inlineStr">
        <is>
          <t>Mixed — separate layers</t>
        </is>
      </c>
      <c r="AF76" s="111" t="inlineStr">
        <is>
          <t>Ancient layers: Janus as keeper of beginnings/doors and the Roman war-peace gate tradition. Fictional layer: independent judicial review or guaranteed exit against the state.</t>
        </is>
      </c>
      <c r="AG76" s="111" t="inlineStr">
        <is>
          <t>SG-01; AD-01</t>
        </is>
      </c>
    </row>
    <row r="77" ht="150" customHeight="1" s="61">
      <c r="A77" s="111" t="inlineStr">
        <is>
          <t>TH-006</t>
        </is>
      </c>
      <c r="B77" s="111" t="inlineStr">
        <is>
          <t>TH-01</t>
        </is>
      </c>
      <c r="C77" s="111" t="inlineStr">
        <is>
          <t>Threshold / Exit / Jurisdiction</t>
        </is>
      </c>
      <c r="D77" s="111" t="inlineStr">
        <is>
          <t>Partial witness, escort, and retained cross-domain honors</t>
        </is>
      </c>
      <c r="E77" s="111" t="inlineStr">
        <is>
          <t>Greek archaic to Classical layers</t>
        </is>
      </c>
      <c r="F77" s="111" t="inlineStr">
        <is>
          <t>Hecate</t>
        </is>
      </c>
      <c r="G77" s="111" t="inlineStr">
        <is>
          <t>Hesiod says Zeus preserves and enlarges Hecate's shares across earth, sea, and heaven. In the Hymn to Demeter she hears Persephone's cry, says she did not see the abductor, directs Demeter to Helios, and later becomes Persephone's companion.</t>
        </is>
      </c>
      <c r="H77" s="111" t="inlineStr">
        <is>
          <t>A prior-order power can be integrated without being reduced to a single office; partial evidence and cross-domain movement help a blocked investigation proceed.</t>
        </is>
      </c>
      <c r="I77" s="111" t="inlineStr">
        <is>
          <t>Hecate mediates information and companionship, but the texts do not grant her a constitutional veto or universal bypass.</t>
        </is>
      </c>
      <c r="J77" s="111" t="inlineStr">
        <is>
          <t>Plural competence and pre-Olympian honor survive Zeus's ordering.</t>
        </is>
      </c>
      <c r="K77" s="111" t="inlineStr">
        <is>
          <t>Hermes; Janus; Persephone; Nyx</t>
        </is>
      </c>
      <c r="L77" s="111" t="inlineStr">
        <is>
          <t>Tier 1-2</t>
        </is>
      </c>
      <c r="M77" s="111" t="inlineStr">
        <is>
          <t>Anchored (v0.21); source layers separated</t>
        </is>
      </c>
      <c r="N77" s="111" t="inlineStr">
        <is>
          <t>Not the only witness: Hecate and Helios hear the cry, and Hecate explicitly did not see the abductor. Crossroads imagery is later than Hesiod.</t>
        </is>
      </c>
      <c r="O77" s="111" t="inlineStr">
        <is>
          <t>Hesiod, Theogony 411-452; Homeric Hymn to Demeter 22-27, 51-59, 438-440</t>
        </is>
      </c>
      <c r="P77" s="111" t="inlineStr">
        <is>
          <t>Theogony; Hymn to Demeter</t>
        </is>
      </c>
      <c r="Q77" s="111" t="inlineStr">
        <is>
          <t>Th. 411-452; HH Dem. 22-27, 51-59, 438-440</t>
        </is>
      </c>
      <c r="R77" s="111" t="inlineStr">
        <is>
          <t>Jenny Strauss Clay on Hecate; Albert Henrichs, Hecate; crossroads fragment source pass</t>
        </is>
      </c>
      <c r="S77" s="111" t="inlineStr">
        <is>
          <t>Separate retained honors, auditory witness, guidance to Helios, companionship, and later crossroads imagery. Which supports a threshold claim?</t>
        </is>
      </c>
      <c r="T77" s="111" t="inlineStr">
        <is>
          <t>This row should police the story: Hecate can inspire a route guarantee only as declared invention.</t>
        </is>
      </c>
      <c r="U77" s="111" t="inlineStr">
        <is>
          <t>Do not say she answers to no one, holds an explicit underworld share in Hesiod, or keeps every route open.</t>
        </is>
      </c>
      <c r="V77" s="111" t="inlineStr">
        <is>
          <t>Add the Sophocles fragment only with edition and chronology; verify all translations.</t>
        </is>
      </c>
      <c r="W77" s="112" t="inlineStr">
        <is>
          <t>https://chs.harvard.edu/primary-source/homeric-hymn-to-demeter-sb/</t>
        </is>
      </c>
      <c r="X77" s="111" t="inlineStr">
        <is>
          <t>2026-08-18</t>
        </is>
      </c>
      <c r="Y77" s="111" t="inlineStr">
        <is>
          <t>Tier 1</t>
        </is>
      </c>
      <c r="Z77" s="111" t="inlineStr">
        <is>
          <t>Tier 2</t>
        </is>
      </c>
      <c r="AA77" s="113" t="inlineStr">
        <is>
          <t>Load-bearing</t>
        </is>
      </c>
      <c r="AB77" s="111" t="inlineStr">
        <is>
          <t>The frame predicts an independent jurisdiction; the sources can equally display Zeus's generous and successful ordering.</t>
        </is>
      </c>
      <c r="AC77" s="111" t="inlineStr">
        <is>
          <t>Partial fit</t>
        </is>
      </c>
      <c r="AD77" s="111" t="inlineStr">
        <is>
          <t>Hecate's preserved honors may validate Zeus's settlement rather than limit it; her help is evidentiary and relational, not a formal bypass.</t>
        </is>
      </c>
      <c r="AE77" s="111" t="inlineStr">
        <is>
          <t>Mixed — separate layers</t>
        </is>
      </c>
      <c r="AF77" s="111" t="inlineStr">
        <is>
          <t>Ancient core: retained honors, hearing the cry, directing Demeter to Helios, later companionship. Fictional layer: guaranteed open route, independent jurisdiction, sole witness, or romance with Hermes.</t>
        </is>
      </c>
      <c r="AG77" s="111" t="inlineStr">
        <is>
          <t>UF-01; VA-01; DT-01</t>
        </is>
      </c>
    </row>
    <row r="78" ht="150" customHeight="1" s="61">
      <c r="A78" s="111" t="inlineStr">
        <is>
          <t>TH-007</t>
        </is>
      </c>
      <c r="B78" s="111" t="inlineStr">
        <is>
          <t>TH-01</t>
        </is>
      </c>
      <c r="C78" s="111" t="inlineStr">
        <is>
          <t>Threshold / Exit / Jurisdiction</t>
        </is>
      </c>
      <c r="D78" s="111" t="inlineStr">
        <is>
          <t>Authorized conductor of souls</t>
        </is>
      </c>
      <c r="E78" s="111" t="inlineStr">
        <is>
          <t>Greek epic</t>
        </is>
      </c>
      <c r="F78" s="111" t="inlineStr">
        <is>
          <t>Hermes Psychopompos</t>
        </is>
      </c>
      <c r="G78" s="111" t="inlineStr">
        <is>
          <t>At the opening of Odyssey 24, Hermes summons and conducts the slain suitors' souls along a path to the house of Hades.</t>
        </is>
      </c>
      <c r="H78" s="111" t="inlineStr">
        <is>
          <t>Mobility across realms can be an assigned service within the order rather than an independent right of passage.</t>
        </is>
      </c>
      <c r="I78" s="111" t="inlineStr">
        <is>
          <t>Hermes is an authorized escort; the channel moves the dead but does not grant them return or appeal.</t>
        </is>
      </c>
      <c r="J78" s="111" t="inlineStr">
        <is>
          <t>The route remains navigable through a guide whose trickster mobility is not wholly erased.</t>
        </is>
      </c>
      <c r="K78" s="111" t="inlineStr">
        <is>
          <t>Hecate; Janus; Egyptian guides</t>
        </is>
      </c>
      <c r="L78" s="111" t="inlineStr">
        <is>
          <t>Tier 1-2</t>
        </is>
      </c>
      <c r="M78" s="111" t="inlineStr">
        <is>
          <t>Anchored (v0.21); primary passage located</t>
        </is>
      </c>
      <c r="N78" s="111" t="inlineStr">
        <is>
          <t>Do not infer that Hermes is the only deity able to cross realms or that conducting souls guarantees open exit.</t>
        </is>
      </c>
      <c r="O78" s="111" t="inlineStr">
        <is>
          <t>Odyssey 24.1-14</t>
        </is>
      </c>
      <c r="P78" s="111" t="inlineStr">
        <is>
          <t>Homer, Odyssey, Book 24</t>
        </is>
      </c>
      <c r="Q78" s="111" t="inlineStr">
        <is>
          <t>1-14</t>
        </is>
      </c>
      <c r="R78" s="111" t="inlineStr">
        <is>
          <t>Homeric commentary on the second nekyia and Hermes's psychopomp role</t>
        </is>
      </c>
      <c r="S78" s="111" t="inlineStr">
        <is>
          <t>Does this route enable passage, enforce closure, or merely transport subjects already judged dead?</t>
        </is>
      </c>
      <c r="T78" s="111" t="inlineStr">
        <is>
          <t>A good internal-route comparator: authorized mobility can coexist with closed outcomes.</t>
        </is>
      </c>
      <c r="U78" s="111" t="inlineStr">
        <is>
          <t>Avoid treating the late epithet system as a single Homeric job description.</t>
        </is>
      </c>
      <c r="V78" s="111" t="inlineStr">
        <is>
          <t>Add a Homeric commentary and note textual criticism around Odyssey 24 if relevant.</t>
        </is>
      </c>
      <c r="W78" s="112" t="inlineStr">
        <is>
          <t>https://www.perseus.tufts.edu/hopper/text?doc=Perseus%3Atext%3A1999.01.0218%3Abook%3D24</t>
        </is>
      </c>
      <c r="X78" s="111" t="inlineStr">
        <is>
          <t>2026-08-18</t>
        </is>
      </c>
      <c r="Y78" s="111" t="inlineStr">
        <is>
          <t>Tier 1</t>
        </is>
      </c>
      <c r="Z78" s="111" t="inlineStr">
        <is>
          <t>Tier 2</t>
        </is>
      </c>
      <c r="AA78" s="114" t="inlineStr">
        <is>
          <t>Supportive</t>
        </is>
      </c>
      <c r="AB78" s="111" t="inlineStr">
        <is>
          <t>The frame predicts usable exit; Hermes conducts souls inward and does not reopen their cases.</t>
        </is>
      </c>
      <c r="AC78" s="111" t="inlineStr">
        <is>
          <t>Partial fit</t>
        </is>
      </c>
      <c r="AD78" s="111" t="inlineStr">
        <is>
          <t>This is orderly escort of the dead, not a right to leave Hades or challenge its jurisdiction.</t>
        </is>
      </c>
      <c r="AE78" s="111" t="inlineStr">
        <is>
          <t>Ancient textual core</t>
        </is>
      </c>
      <c r="AF78" s="111" t="inlineStr">
        <is>
          <t>Ancient core: Hermes conducts the suitors' souls to Hades. Fictional layer: universal cross-jurisdiction warrant, appeal service, or exclusive control of every boundary.</t>
        </is>
      </c>
      <c r="AG78" s="111" t="inlineStr">
        <is>
          <t>TR-01; DT-01</t>
        </is>
      </c>
    </row>
    <row r="79" ht="150" customHeight="1" s="61">
      <c r="A79" s="111" t="inlineStr">
        <is>
          <t>TH-008</t>
        </is>
      </c>
      <c r="B79" s="111" t="inlineStr">
        <is>
          <t>TH-01</t>
        </is>
      </c>
      <c r="C79" s="111" t="inlineStr">
        <is>
          <t>Threshold / Exit / Jurisdiction</t>
        </is>
      </c>
      <c r="D79" s="111" t="inlineStr">
        <is>
          <t>Guarded bridge and warning system</t>
        </is>
      </c>
      <c r="E79" s="111" t="inlineStr">
        <is>
          <t>Norse medieval literary transmission</t>
        </is>
      </c>
      <c r="F79" s="111" t="inlineStr">
        <is>
          <t>Heimdall and Bifröst</t>
        </is>
      </c>
      <c r="G79" s="111" t="inlineStr">
        <is>
          <t>In Snorri's account, Heimdall guards the gods, watches the bridge Bifröst, needs little sleep, sees and hears extraordinarily far, and will sound Gjallarhorn at Ragnarök.</t>
        </is>
      </c>
      <c r="H79" s="111" t="inlineStr">
        <is>
          <t>A threshold can be built around surveillance and alarm rather than adjudication or free passage.</t>
        </is>
      </c>
      <c r="I79" s="111" t="inlineStr">
        <is>
          <t>Specialized vigilance protects the center by detecting crossings; warning, not negotiation, is the mechanism.</t>
        </is>
      </c>
      <c r="J79" s="111" t="inlineStr">
        <is>
          <t>The bridge remains a route, but its value to the order depends on controlled observation.</t>
        </is>
      </c>
      <c r="K79" s="111" t="inlineStr">
        <is>
          <t>Janus; Hecate; Argus as surveillance comparator</t>
        </is>
      </c>
      <c r="L79" s="111" t="inlineStr">
        <is>
          <t>Tier 2</t>
        </is>
      </c>
      <c r="M79" s="111" t="inlineStr">
        <is>
          <t>Needs source pass; Snorri passage located</t>
        </is>
      </c>
      <c r="N79" s="111" t="inlineStr">
        <is>
          <t>Christian-era manuscript context and Snorri's synthesis require layer care. Guarding a bridge is not proof of bureaucracy.</t>
        </is>
      </c>
      <c r="O79" s="111" t="inlineStr">
        <is>
          <t>Snorri, Prose Edda, Gylfaginning (Heimdall section)</t>
        </is>
      </c>
      <c r="P79" s="111" t="inlineStr">
        <is>
          <t>Prose Edda</t>
        </is>
      </c>
      <c r="Q79" s="111" t="inlineStr">
        <is>
          <t>Gylfaginning chapter/section and page to pin by edition</t>
        </is>
      </c>
      <c r="R79" s="111" t="inlineStr">
        <is>
          <t>Edda commentaries on Heimdall and Bifröst; medieval transmission context</t>
        </is>
      </c>
      <c r="S79" s="111" t="inlineStr">
        <is>
          <t>Does Heimdall decide passage, detect it, warn of it, or all three? Keep the functions separate.</t>
        </is>
      </c>
      <c r="T79" s="111" t="inlineStr">
        <is>
          <t>Useful negative comparator: surveillance at a threshold is not the same as a lawful exit route.</t>
        </is>
      </c>
      <c r="U79" s="111" t="inlineStr">
        <is>
          <t>Do not turn visual/auditory powers into modern total surveillance without marking analogy.</t>
        </is>
      </c>
      <c r="V79" s="111" t="inlineStr">
        <is>
          <t>Pin chapter/page in a standard translation and add Poetic Edda comparanda if warranted.</t>
        </is>
      </c>
      <c r="W79" s="112" t="inlineStr">
        <is>
          <t>https://en.wikisource.org/wiki/Page%3AThe_Prose_Edda_%281916_translation_by_Arthur_Gilchrist_Brodeur%29.pdf/72</t>
        </is>
      </c>
      <c r="X79" s="111" t="inlineStr">
        <is>
          <t>2026-08-18</t>
        </is>
      </c>
      <c r="Y79" s="111" t="inlineStr">
        <is>
          <t>Tier 1-2</t>
        </is>
      </c>
      <c r="Z79" s="111" t="inlineStr">
        <is>
          <t>Tier 2</t>
        </is>
      </c>
      <c r="AA79" s="115" t="inlineStr">
        <is>
          <t>Source-pass</t>
        </is>
      </c>
      <c r="AB79" s="111" t="inlineStr">
        <is>
          <t>The frame predicts an exit condition; the text emphasizes watch and warning, not a rule for leaving.</t>
        </is>
      </c>
      <c r="AC79" s="111" t="inlineStr">
        <is>
          <t>Counterexample</t>
        </is>
      </c>
      <c r="AD79" s="111" t="inlineStr">
        <is>
          <t>Heimdall is a defender and eschatological sentinel, not an appeals officer or guarantor of plural passage.</t>
        </is>
      </c>
      <c r="AE79" s="111" t="inlineStr">
        <is>
          <t>Medieval / early-modern literary</t>
        </is>
      </c>
      <c r="AF79" s="111" t="inlineStr">
        <is>
          <t>Textual core: extraordinary senses, guarding, horn warning. Fictional layer: universal border database, judicial gatekeeping, or constitutional review.</t>
        </is>
      </c>
      <c r="AG79" s="111" t="inlineStr">
        <is>
          <t>AD-01</t>
        </is>
      </c>
    </row>
    <row r="80" ht="150" customHeight="1" s="61">
      <c r="A80" s="111" t="inlineStr">
        <is>
          <t>CO-001</t>
        </is>
      </c>
      <c r="B80" s="111" t="inlineStr">
        <is>
          <t>CO-01</t>
        </is>
      </c>
      <c r="C80" s="111" t="inlineStr">
        <is>
          <t>Capture by Office / Promotion</t>
        </is>
      </c>
      <c r="D80" s="111" t="inlineStr">
        <is>
          <t>Explicit pacification by low or empty title</t>
        </is>
      </c>
      <c r="E80" s="111" t="inlineStr">
        <is>
          <t>Ming Chinese vernacular fiction</t>
        </is>
      </c>
      <c r="F80" s="111" t="inlineStr">
        <is>
          <t>Sun Wukong's heavenly appointments</t>
        </is>
      </c>
      <c r="G80" s="111" t="inlineStr">
        <is>
          <t>Heaven first appoints Wukong Keeper of the Heavenly Horses; after his revolt it recognizes 'Great Sage Equal to Heaven' as an empty title and gives him nominal work intended to keep him quiet and observable.</t>
        </is>
      </c>
      <c r="H80" s="111" t="inlineStr">
        <is>
          <t>The challenged order tries to convert a disruptive outsider's demand for recognition into rank without corresponding power.</t>
        </is>
      </c>
      <c r="I80" s="111" t="inlineStr">
        <is>
          <t>Office, title, access, and inclusion become tools of pacification; failed incorporation later produces renewed revolt.</t>
        </is>
      </c>
      <c r="J80" s="111" t="inlineStr">
        <is>
          <t>Wukong's appetite for recognition survives, as do his mobility and capacity to expose the emptiness of honor.</t>
        </is>
      </c>
      <c r="K80" s="111" t="inlineStr">
        <is>
          <t>Hermes's negotiated honors; Erinyes settlement; Karna's promotion</t>
        </is>
      </c>
      <c r="L80" s="111" t="inlineStr">
        <is>
          <t>Tier 1-2</t>
        </is>
      </c>
      <c r="M80" s="111" t="inlineStr">
        <is>
          <t>Anchored (v0.21); chapters located</t>
        </is>
      </c>
      <c r="N80" s="111" t="inlineStr">
        <is>
          <t>Wukong is not a principled anarchist: he wants rank, recognition, access, and banquet inclusion. That ambivalence is essential.</t>
        </is>
      </c>
      <c r="O80" s="111" t="inlineStr">
        <is>
          <t>Journey to the West, chapters 4-5</t>
        </is>
      </c>
      <c r="P80" s="111" t="inlineStr">
        <is>
          <t>Wu Cheng'en, Journey to the West</t>
        </is>
      </c>
      <c r="Q80" s="111" t="inlineStr">
        <is>
          <t>Chapter 4 appointments and explicit empty-title proposal; chapter 5 orchard/banquet exclusion</t>
        </is>
      </c>
      <c r="R80" s="111" t="inlineStr">
        <is>
          <t>Anthony C. Yu translation; scholarship on celestial bureaucracy and satire in the novel</t>
        </is>
      </c>
      <c r="S80" s="111" t="inlineStr">
        <is>
          <t>Identify each office, what real authority it carries, and the text's stated purpose for granting it. Why does capture fail?</t>
        </is>
      </c>
      <c r="T80" s="111" t="inlineStr">
        <is>
          <t>The cluster's cleanest case because the pacification intent is unusually explicit.</t>
        </is>
      </c>
      <c r="U80" s="111" t="inlineStr">
        <is>
          <t>Do not say Wukong simply hates bureaucracy or already possesses a modern anti-capture doctrine.</t>
        </is>
      </c>
      <c r="V80" s="111" t="inlineStr">
        <is>
          <t>Pin pages in Yu and record Chinese terms for the offices/titles.</t>
        </is>
      </c>
      <c r="W80" s="112" t="inlineStr">
        <is>
          <t>https://anthony.sogang.ac.kr/CompLit/JourneyWest.pdf</t>
        </is>
      </c>
      <c r="X80" s="111" t="inlineStr">
        <is>
          <t>2026-08-18</t>
        </is>
      </c>
      <c r="Y80" s="111" t="inlineStr">
        <is>
          <t>Tier 1</t>
        </is>
      </c>
      <c r="Z80" s="111" t="inlineStr">
        <is>
          <t>Tier 2</t>
        </is>
      </c>
      <c r="AA80" s="113" t="inlineStr">
        <is>
          <t>Load-bearing</t>
        </is>
      </c>
      <c r="AB80" s="111" t="inlineStr">
        <is>
          <t>The frame predicts an outsider refusing office; Wukong repeatedly seeks status and accepts appointments until humiliation or exclusion becomes clear.</t>
        </is>
      </c>
      <c r="AC80" s="111" t="inlineStr">
        <is>
          <t>Fits</t>
        </is>
      </c>
      <c r="AD80" s="111" t="inlineStr">
        <is>
          <t>The appointments answer real demands for recognition; his motives mix dignity, appetite, ambition, resentment, and freedom.</t>
        </is>
      </c>
      <c r="AE80" s="111" t="inlineStr">
        <is>
          <t>Medieval / early-modern literary</t>
        </is>
      </c>
      <c r="AF80" s="111" t="inlineStr">
        <is>
          <t>Canonical layer: Bimawen appointment, empty Great Sage title, keep-busy assignment, banquet exclusion. Fictional layer: the 'Seventy-Third Change' as consciously refusing the crown he once wanted.</t>
        </is>
      </c>
      <c r="AG80" s="111" t="inlineStr">
        <is>
          <t>TR-01; TH-01</t>
        </is>
      </c>
    </row>
    <row r="81" ht="150" customHeight="1" s="61">
      <c r="A81" s="111" t="inlineStr">
        <is>
          <t>CO-002</t>
        </is>
      </c>
      <c r="B81" s="111" t="inlineStr">
        <is>
          <t>CO-01</t>
        </is>
      </c>
      <c r="C81" s="111" t="inlineStr">
        <is>
          <t>Capture by Office / Promotion</t>
        </is>
      </c>
      <c r="D81" s="111" t="inlineStr">
        <is>
          <t>Threat converted into honored civic place</t>
        </is>
      </c>
      <c r="E81" s="111" t="inlineStr">
        <is>
          <t>Greek tragedy</t>
        </is>
      </c>
      <c r="F81" s="111" t="inlineStr">
        <is>
          <t>Erinyes in Aeschylus's Eumenides</t>
        </is>
      </c>
      <c r="G81" s="111" t="inlineStr">
        <is>
          <t>After Orestes is acquitted, the enraged Erinyes threaten Athens; Athena repeatedly offers them residence and honors, and they accept a transformed civic relationship as the Semnai Theai.</t>
        </is>
      </c>
      <c r="H81" s="111" t="inlineStr">
        <is>
          <t>A city absorbs a dangerous prior-order force not by erasing it but by granting durable honor, place, ritual, and a new public function.</t>
        </is>
      </c>
      <c r="I81" s="111" t="inlineStr">
        <is>
          <t>Persuasion, benefits, recognition, and credible coercive capacity turn threatened retaliation into civic blessing.</t>
        </is>
      </c>
      <c r="J81" s="111" t="inlineStr">
        <is>
          <t>The Erinyes retain name, curse/blessing power, and the need for continuing honor.</t>
        </is>
      </c>
      <c r="K81" s="111" t="inlineStr">
        <is>
          <t>Hermes; Wukong; restorative settlement</t>
        </is>
      </c>
      <c r="L81" s="111" t="inlineStr">
        <is>
          <t>Tier 1-2</t>
        </is>
      </c>
      <c r="M81" s="111" t="inlineStr">
        <is>
          <t>Anchored (v0.21); primary passages located</t>
        </is>
      </c>
      <c r="N81" s="111" t="inlineStr">
        <is>
          <t>The Erinyes receive cultic residence and honors, not a literal bureaucratic office. Reciprocal reconciliation is a mandatory counter-reading.</t>
        </is>
      </c>
      <c r="O81" s="111" t="inlineStr">
        <is>
          <t>Aeschylus, Eumenides 681-710, 734-753, 778-1047</t>
        </is>
      </c>
      <c r="P81" s="111" t="inlineStr">
        <is>
          <t>Aeschylus, Eumenides</t>
        </is>
      </c>
      <c r="Q81" s="111" t="inlineStr">
        <is>
          <t>Court 681-710; vote 734-753; offers/settlement 778-1047</t>
        </is>
      </c>
      <c r="R81" s="111" t="inlineStr">
        <is>
          <t>Scholarship on justice, cult settlement, and civic reconciliation in Eumenides</t>
        </is>
      </c>
      <c r="S81" s="111" t="inlineStr">
        <is>
          <t>Which elements are threat, persuasion, honor, coercive backdrop, and continuing autonomy? Does 'capture' underdescribe the settlement?</t>
        </is>
      </c>
      <c r="T81" s="111" t="inlineStr">
        <is>
          <t>A strong fit only if the matrix preserves both co-option and genuine restorative settlement.</t>
        </is>
      </c>
      <c r="U81" s="111" t="inlineStr">
        <is>
          <t>Do not say Athena creates a retroactive rule, that the court never rules against the house, or that the Erinyes become salaried officials.</t>
        </is>
      </c>
      <c r="V81" s="111" t="inlineStr">
        <is>
          <t>Add a specialist commentary and pin the thunderbolt/coercion passage.</t>
        </is>
      </c>
      <c r="W81" s="112" t="inlineStr">
        <is>
          <t>https://chs.harvard.edu/primary-source/aeschylus-eumenides-sb/</t>
        </is>
      </c>
      <c r="X81" s="111" t="inlineStr">
        <is>
          <t>2026-08-18</t>
        </is>
      </c>
      <c r="Y81" s="111" t="inlineStr">
        <is>
          <t>Tier 1</t>
        </is>
      </c>
      <c r="Z81" s="111" t="inlineStr">
        <is>
          <t>Tier 2</t>
        </is>
      </c>
      <c r="AA81" s="113" t="inlineStr">
        <is>
          <t>Load-bearing</t>
        </is>
      </c>
      <c r="AB81" s="111" t="inlineStr">
        <is>
          <t>The frame predicts neutralization; the ending gives the Erinyes continuing dignity, power, place, and reciprocal obligations.</t>
        </is>
      </c>
      <c r="AC81" s="111" t="inlineStr">
        <is>
          <t>Fits</t>
        </is>
      </c>
      <c r="AD81" s="111" t="inlineStr">
        <is>
          <t>The settlement may be genuine reconciliation freely accepted after sustained persuasion, not cynical co-option.</t>
        </is>
      </c>
      <c r="AE81" s="111" t="inlineStr">
        <is>
          <t>Ancient textual core</t>
        </is>
      </c>
      <c r="AF81" s="111" t="inlineStr">
        <is>
          <t>Ancient core: court, tie/acquittal, Erinyes' threat, Athena's offers, accepted honors and procession. Fictional layer: a modern cabinet post, payroll, or permanent subordination.</t>
        </is>
      </c>
      <c r="AG81" s="111" t="inlineStr">
        <is>
          <t>AD-01; UF-01</t>
        </is>
      </c>
    </row>
    <row r="82" ht="150" customHeight="1" s="61">
      <c r="A82" s="111" t="inlineStr">
        <is>
          <t>CO-003</t>
        </is>
      </c>
      <c r="B82" s="111" t="inlineStr">
        <is>
          <t>CO-01</t>
        </is>
      </c>
      <c r="C82" s="111" t="inlineStr">
        <is>
          <t>Capture by Office / Promotion</t>
        </is>
      </c>
      <c r="D82" s="111" t="inlineStr">
        <is>
          <t>Promotion repairs status and creates reciprocal loyalty</t>
        </is>
      </c>
      <c r="E82" s="111" t="inlineStr">
        <is>
          <t>Sanskrit epic / living reception</t>
        </is>
      </c>
      <c r="F82" s="111" t="inlineStr">
        <is>
          <t>Karna crowned king of Anga</t>
        </is>
      </c>
      <c r="G82" s="111" t="inlineStr">
        <is>
          <t>When Karna's status blocks his challenge to Arjuna, Duryodhana crowns him king of Anga, enabling the contest and creating a bond Karna answers with friendship and loyalty.</t>
        </is>
      </c>
      <c r="H82" s="111" t="inlineStr">
        <is>
          <t>Promotion can solve a real exclusion while binding exceptional capacity to a rival leader's political project.</t>
        </is>
      </c>
      <c r="I82" s="111" t="inlineStr">
        <is>
          <t>Title and territory convert humiliation into reciprocal allegiance; instrumental calculation and genuine friendship can coexist.</t>
        </is>
      </c>
      <c r="J82" s="111" t="inlineStr">
        <is>
          <t>Karna gains real status and agency rather than an empty title; the relationship remains personally meaningful.</t>
        </is>
      </c>
      <c r="K82" s="111" t="inlineStr">
        <is>
          <t>Wukong; Joseph; patronage and status repair</t>
        </is>
      </c>
      <c r="L82" s="111" t="inlineStr">
        <is>
          <t>Tier 2</t>
        </is>
      </c>
      <c r="M82" s="111" t="inlineStr">
        <is>
          <t>Needs source pass; Ganguli section located</t>
        </is>
      </c>
      <c r="N82" s="111" t="inlineStr">
        <is>
          <t>Layered epic and living Hindu reception require care. Numbering varies by edition; Duryodhana is a rival prince, not a simple sovereign censor.</t>
        </is>
      </c>
      <c r="O82" s="111" t="inlineStr">
        <is>
          <t>Mahābhārata, Ādi Parva, Sambhava Parva, Ganguli section 138</t>
        </is>
      </c>
      <c r="P82" s="111" t="inlineStr">
        <is>
          <t>Mahābhārata, Ādi Parva</t>
        </is>
      </c>
      <c r="Q82" s="111" t="inlineStr">
        <is>
          <t>Tournament and Anga coronation; crosswalk critical-edition numbering</t>
        </is>
      </c>
      <c r="R82" s="111" t="inlineStr">
        <is>
          <t>Critical-edition crosswalk and scholarship on Karna-Duryodhana friendship/status</t>
        </is>
      </c>
      <c r="S82" s="111" t="inlineStr">
        <is>
          <t>Was the coronation cynical capture, substantive inclusion, friendship, or all three? What does Karna actually receive?</t>
        </is>
      </c>
      <c r="T82" s="111" t="inlineStr">
        <is>
          <t>Important non-Greek case because real benefit and binding reciprocity coexist.</t>
        </is>
      </c>
      <c r="U82" s="111" t="inlineStr">
        <is>
          <t>Do not reduce a living epic figure to a patronage transaction or flatten variant traditions.</t>
        </is>
      </c>
      <c r="V82" s="111" t="inlineStr">
        <is>
          <t>Crosswalk passage numbering and add a contemporary Mahābhārata scholar.</t>
        </is>
      </c>
      <c r="W82" s="112" t="inlineStr">
        <is>
          <t>https://en.wikisource.org/wiki/Page%3AThe_Mahabharata_of_Krishna-Dwaipayana_Vyasa_%281884%29.djvu/440</t>
        </is>
      </c>
      <c r="X82" s="111" t="inlineStr">
        <is>
          <t>2026-08-18</t>
        </is>
      </c>
      <c r="Y82" s="111" t="inlineStr">
        <is>
          <t>Tier 1-2</t>
        </is>
      </c>
      <c r="Z82" s="111" t="inlineStr">
        <is>
          <t>Tier 2</t>
        </is>
      </c>
      <c r="AA82" s="115" t="inlineStr">
        <is>
          <t>Source-pass</t>
        </is>
      </c>
      <c r="AB82" s="111" t="inlineStr">
        <is>
          <t>The frame predicts an empty office; Anga is a substantive kingship that repairs an immediate status barrier.</t>
        </is>
      </c>
      <c r="AC82" s="111" t="inlineStr">
        <is>
          <t>Fits</t>
        </is>
      </c>
      <c r="AD82" s="111" t="inlineStr">
        <is>
          <t>Duryodhana also addresses a real humiliation and asks for friendship; cynical neutralization alone is inadequate.</t>
        </is>
      </c>
      <c r="AE82" s="111" t="inlineStr">
        <is>
          <t>Mixed — separate layers</t>
        </is>
      </c>
      <c r="AF82" s="111" t="inlineStr">
        <is>
          <t>Epic core: status challenge, Anga coronation, declared friendship/loyalty. Fictional layer: modern civil-service capture or a single definitive motive across all retellings.</t>
        </is>
      </c>
      <c r="AG82" s="111" t="inlineStr">
        <is>
          <t>SC-01; AD-01</t>
        </is>
      </c>
    </row>
    <row r="83" ht="150" customHeight="1" s="61">
      <c r="A83" s="111" t="inlineStr">
        <is>
          <t>CO-004</t>
        </is>
      </c>
      <c r="B83" s="111" t="inlineStr">
        <is>
          <t>CO-01</t>
        </is>
      </c>
      <c r="C83" s="111" t="inlineStr">
        <is>
          <t>Capture by Office / Promotion</t>
        </is>
      </c>
      <c r="D83" s="111" t="inlineStr">
        <is>
          <t>Counterexample: office cannot absorb higher allegiance</t>
        </is>
      </c>
      <c r="E83" s="111" t="inlineStr">
        <is>
          <t>Hebrew Bible / court tale</t>
        </is>
      </c>
      <c r="F83" s="111" t="inlineStr">
        <is>
          <t>Daniel in high office</t>
        </is>
      </c>
      <c r="G83" s="111" t="inlineStr">
        <is>
          <t>Daniel receives high administrative rank after interpreting the king's dream, yet later refuses practices that conflict with allegiance to God and survives punishment in the lions' den.</t>
        </is>
      </c>
      <c r="H83" s="111" t="inlineStr">
        <is>
          <t>Office can grant responsibility and prestige without dissolving an external source of identity and obligation.</t>
        </is>
      </c>
      <c r="I83" s="111" t="inlineStr">
        <is>
          <t>Promotion attempts no explicit neutralization in the first episode; later court pressure tests, rather than creates, divided allegiance.</t>
        </is>
      </c>
      <c r="J83" s="111" t="inlineStr">
        <is>
          <t>Religious commitment remains outside the office's power to redefine.</t>
        </is>
      </c>
      <c r="K83" s="111" t="inlineStr">
        <is>
          <t>Joseph; resistant courtier; Wukong</t>
        </is>
      </c>
      <c r="L83" s="111" t="inlineStr">
        <is>
          <t>Tier 2</t>
        </is>
      </c>
      <c r="M83" s="111" t="inlineStr">
        <is>
          <t>Anchored (v0.21); passages located</t>
        </is>
      </c>
      <c r="N83" s="111" t="inlineStr">
        <is>
          <t>Theological court narrative, not straightforward Neo-Babylonian or Persian administrative history. Preserve Jewish interpretive context.</t>
        </is>
      </c>
      <c r="O83" s="111" t="inlineStr">
        <is>
          <t>Daniel 2.48-49; 6.1-23</t>
        </is>
      </c>
      <c r="P83" s="111" t="inlineStr">
        <is>
          <t>Book of Daniel</t>
        </is>
      </c>
      <c r="Q83" s="111" t="inlineStr">
        <is>
          <t>2.48-49; 6.1-23</t>
        </is>
      </c>
      <c r="R83" s="111" t="inlineStr">
        <is>
          <t>Jewish-studies commentaries on Daniel's court tales and historical setting</t>
        </is>
      </c>
      <c r="S83" s="111" t="inlineStr">
        <is>
          <t>Does the text show capture intent, simple reward, or a later conflict between office and allegiance?</t>
        </is>
      </c>
      <c r="T83" s="111" t="inlineStr">
        <is>
          <t>Counterexample prevents CO-01 from equating every promotion with co-option.</t>
        </is>
      </c>
      <c r="U83" s="111" t="inlineStr">
        <is>
          <t>Do not use the story as neutral administrative history or universalize religious resistance.</t>
        </is>
      </c>
      <c r="V83" s="111" t="inlineStr">
        <is>
          <t>Add a Jewish-studies commentary and specify translation.</t>
        </is>
      </c>
      <c r="W83" s="112" t="inlineStr">
        <is>
          <t>https://www.sefaria.org/Daniel.2.48?lang=bi</t>
        </is>
      </c>
      <c r="X83" s="111" t="inlineStr">
        <is>
          <t>2026-08-18</t>
        </is>
      </c>
      <c r="Y83" s="111" t="inlineStr">
        <is>
          <t>Tier 1</t>
        </is>
      </c>
      <c r="Z83" s="111" t="inlineStr">
        <is>
          <t>Tier 2</t>
        </is>
      </c>
      <c r="AA83" s="114" t="inlineStr">
        <is>
          <t>Supportive</t>
        </is>
      </c>
      <c r="AB83" s="111" t="inlineStr">
        <is>
          <t>The cluster predicts a prior disruptor pacified by promotion; Daniel is rewarded for service before the later loyalty conflict.</t>
        </is>
      </c>
      <c r="AC83" s="111" t="inlineStr">
        <is>
          <t>Counterexample</t>
        </is>
      </c>
      <c r="AD83" s="111" t="inlineStr">
        <is>
          <t>High office is genuine responsibility and cannot absorb a higher allegiance; it is not shown as a plan to silence a rebel.</t>
        </is>
      </c>
      <c r="AE83" s="111" t="inlineStr">
        <is>
          <t>Ancient textual core</t>
        </is>
      </c>
      <c r="AF83" s="111" t="inlineStr">
        <is>
          <t>Textual core: promotion after interpretation and later fidelity under coercion. Fictional layer: a single bureaucratic conspiracy joining separate court episodes.</t>
        </is>
      </c>
      <c r="AG83" s="111" t="inlineStr">
        <is>
          <t>AD-01</t>
        </is>
      </c>
    </row>
    <row r="84" ht="150" customHeight="1" s="61">
      <c r="A84" s="111" t="inlineStr">
        <is>
          <t>CO-005</t>
        </is>
      </c>
      <c r="B84" s="111" t="inlineStr">
        <is>
          <t>CO-01</t>
        </is>
      </c>
      <c r="C84" s="111" t="inlineStr">
        <is>
          <t>Capture by Office / Promotion</t>
        </is>
      </c>
      <c r="D84" s="111" t="inlineStr">
        <is>
          <t>Counterexample: office empowers an outsider</t>
        </is>
      </c>
      <c r="E84" s="111" t="inlineStr">
        <is>
          <t>Hebrew Bible / Egyptian court setting</t>
        </is>
      </c>
      <c r="F84" s="111" t="inlineStr">
        <is>
          <t>Joseph's promotion</t>
        </is>
      </c>
      <c r="G84" s="111" t="inlineStr">
        <is>
          <t>After interpreting Pharaoh's dreams and proposing a famine plan, Joseph receives signet, clothing, Egyptian name, marriage, and sweeping administrative authority.</t>
        </is>
      </c>
      <c r="H84" s="111" t="inlineStr">
        <is>
          <t>Promotion can be genuine empowerment of exceptional competence, not a technique for neutralizing dissent.</t>
        </is>
      </c>
      <c r="I84" s="111" t="inlineStr">
        <is>
          <t>The court incorporates an outsider through symbols and kinship while delegating real power for famine preparation.</t>
        </is>
      </c>
      <c r="J84" s="111" t="inlineStr">
        <is>
          <t>Joseph gains authority that enables preservation rather than merely ceremonial inclusion.</t>
        </is>
      </c>
      <c r="K84" s="111" t="inlineStr">
        <is>
          <t>Karna; Daniel; competent outsider</t>
        </is>
      </c>
      <c r="L84" s="111" t="inlineStr">
        <is>
          <t>Tier 2</t>
        </is>
      </c>
      <c r="M84" s="111" t="inlineStr">
        <is>
          <t>Anchored (v0.21); passage located</t>
        </is>
      </c>
      <c r="N84" s="111" t="inlineStr">
        <is>
          <t>Joseph is not a prior political rebel. Treat as theological narrative with an Egyptian court setting, not direct administrative documentation.</t>
        </is>
      </c>
      <c r="O84" s="111" t="inlineStr">
        <is>
          <t>Genesis 41.39-46</t>
        </is>
      </c>
      <c r="P84" s="111" t="inlineStr">
        <is>
          <t>Genesis</t>
        </is>
      </c>
      <c r="Q84" s="111" t="inlineStr">
        <is>
          <t>41.39-46</t>
        </is>
      </c>
      <c r="R84" s="111" t="inlineStr">
        <is>
          <t>Jewish-studies commentary on the Joseph narrative and Egyptianizing court detail</t>
        </is>
      </c>
      <c r="S84" s="111" t="inlineStr">
        <is>
          <t>Which incorporation markers are symbolic, and which transfer real decision power? Is any pacification intent explicit?</t>
        </is>
      </c>
      <c r="T84" s="111" t="inlineStr">
        <is>
          <t>A decisive negative case: visible incorporation does not prove capture.</t>
        </is>
      </c>
      <c r="U84" s="111" t="inlineStr">
        <is>
          <t>Avoid making renaming, clothing, and marriage automatically sinister or historically documentary.</t>
        </is>
      </c>
      <c r="V84" s="111" t="inlineStr">
        <is>
          <t>Add a Jewish-studies source and specify translation.</t>
        </is>
      </c>
      <c r="W84" s="112" t="inlineStr">
        <is>
          <t>https://www.sefaria.org/Genesis.41.39?lang=bi</t>
        </is>
      </c>
      <c r="X84" s="111" t="inlineStr">
        <is>
          <t>2026-08-18</t>
        </is>
      </c>
      <c r="Y84" s="111" t="inlineStr">
        <is>
          <t>Tier 1</t>
        </is>
      </c>
      <c r="Z84" s="111" t="inlineStr">
        <is>
          <t>Tier 2</t>
        </is>
      </c>
      <c r="AA84" s="114" t="inlineStr">
        <is>
          <t>Supportive</t>
        </is>
      </c>
      <c r="AB84" s="111" t="inlineStr">
        <is>
          <t>The cluster predicts disruption before appointment; Joseph offers an interpretation and plan rather than leading a revolt.</t>
        </is>
      </c>
      <c r="AC84" s="111" t="inlineStr">
        <is>
          <t>Counterexample</t>
        </is>
      </c>
      <c r="AD84" s="111" t="inlineStr">
        <is>
          <t>The office enables famine relief and carries real authority; 'capture' would erase the episode's competence-and-preservation logic.</t>
        </is>
      </c>
      <c r="AE84" s="111" t="inlineStr">
        <is>
          <t>Ancient textual core</t>
        </is>
      </c>
      <c r="AF84" s="111" t="inlineStr">
        <is>
          <t>Textual core: dream interpretation, plan, signet, name, marriage, authority. Fictional layer: a prior anti-state movement or proof that all identity changes are coercive capture.</t>
        </is>
      </c>
      <c r="AG84" s="111" t="inlineStr">
        <is>
          <t>AD-01</t>
        </is>
      </c>
    </row>
    <row r="85" ht="150" customHeight="1" s="61">
      <c r="A85" s="111" t="inlineStr">
        <is>
          <t>CO-006</t>
        </is>
      </c>
      <c r="B85" s="111" t="inlineStr">
        <is>
          <t>CO-01</t>
        </is>
      </c>
      <c r="C85" s="111" t="inlineStr">
        <is>
          <t>Capture by Office / Promotion</t>
        </is>
      </c>
      <c r="D85" s="111" t="inlineStr">
        <is>
          <t>Counterexample: withdrawal forces concession without office</t>
        </is>
      </c>
      <c r="E85" s="111" t="inlineStr">
        <is>
          <t>Greek archaic hymn</t>
        </is>
      </c>
      <c r="F85" s="111" t="inlineStr">
        <is>
          <t>Demeter's withdrawal</t>
        </is>
      </c>
      <c r="G85" s="111" t="inlineStr">
        <is>
          <t>Demeter withdraws from the gods and prevents seed from growing; threatened with loss of sacrifice and humanity, Zeus's order negotiates Persephone's return and grants Demeter honors at Eleusis.</t>
        </is>
      </c>
      <c r="H85" s="111" t="inlineStr">
        <is>
          <t>Refusal can force the center to change terms without converting the refusing power into a new subordinate office.</t>
        </is>
      </c>
      <c r="I85" s="111" t="inlineStr">
        <is>
          <t>The settlement restores relation through concessions, honors, and a recurring return structure rather than empty promotion.</t>
        </is>
      </c>
      <c r="J85" s="111" t="inlineStr">
        <is>
          <t>Demeter retains agricultural leverage, cultic honor, and a continuing bond with Persephone.</t>
        </is>
      </c>
      <c r="K85" s="111" t="inlineStr">
        <is>
          <t>Erinyes; labor strike; Inanna/Persephone exits</t>
        </is>
      </c>
      <c r="L85" s="111" t="inlineStr">
        <is>
          <t>Tier 1-2</t>
        </is>
      </c>
      <c r="M85" s="111" t="inlineStr">
        <is>
          <t>Anchored (v0.21); primary hymn located</t>
        </is>
      </c>
      <c r="N85" s="111" t="inlineStr">
        <is>
          <t>The hymn is cultic and theological poetry; labor-strike language is analogy. Persephone's pomegranate creates a compromised return schedule.</t>
        </is>
      </c>
      <c r="O85" s="111" t="inlineStr">
        <is>
          <t>Homeric Hymn to Demeter 305-489</t>
        </is>
      </c>
      <c r="P85" s="111" t="inlineStr">
        <is>
          <t>Homeric Hymn to Demeter</t>
        </is>
      </c>
      <c r="Q85" s="111" t="inlineStr">
        <is>
          <t>305-333 famine; 334-469 negotiation/return; 470-489 rites and honors</t>
        </is>
      </c>
      <c r="R85" s="111" t="inlineStr">
        <is>
          <t>Scholarship on the hymn, Eleusis, reciprocity, and divine honors</t>
        </is>
      </c>
      <c r="S85" s="111" t="inlineStr">
        <is>
          <t>What concessions change the relationship, and why is this not merely capture-by-honor?</t>
        </is>
      </c>
      <c r="T85" s="111" t="inlineStr">
        <is>
          <t>Strong counterexample to empty-title logic: the center yields because it cannot reproduce itself without Demeter.</t>
        </is>
      </c>
      <c r="U85" s="111" t="inlineStr">
        <is>
          <t>Do not turn Eleusinian cult into a modern union settlement or erase Persephone's constrained schedule.</t>
        </is>
      </c>
      <c r="V85" s="111" t="inlineStr">
        <is>
          <t>Pin passages by edition and add a specialist hymn commentary.</t>
        </is>
      </c>
      <c r="W85" s="112" t="inlineStr">
        <is>
          <t>https://chs.harvard.edu/primary-source/homeric-hymn-to-demeter-sb/</t>
        </is>
      </c>
      <c r="X85" s="111" t="inlineStr">
        <is>
          <t>2026-08-18</t>
        </is>
      </c>
      <c r="Y85" s="111" t="inlineStr">
        <is>
          <t>Tier 1</t>
        </is>
      </c>
      <c r="Z85" s="111" t="inlineStr">
        <is>
          <t>Tier 2</t>
        </is>
      </c>
      <c r="AA85" s="113" t="inlineStr">
        <is>
          <t>Load-bearing</t>
        </is>
      </c>
      <c r="AB85" s="111" t="inlineStr">
        <is>
          <t>The cluster predicts office granted to neutralize a disruptor; Demeter already has power and wins substantive concessions.</t>
        </is>
      </c>
      <c r="AC85" s="111" t="inlineStr">
        <is>
          <t>Counterexample</t>
        </is>
      </c>
      <c r="AD85" s="111" t="inlineStr">
        <is>
          <t>The agreement can be reciprocal restoration within divine order rather than co-option; Demeter is not absorbed into a new post.</t>
        </is>
      </c>
      <c r="AE85" s="111" t="inlineStr">
        <is>
          <t>Ancient textual core</t>
        </is>
      </c>
      <c r="AF85" s="111" t="inlineStr">
        <is>
          <t>Ancient core: withdrawal, famine, negotiation, partial return, Eleusinian honors. Fictional layer: a modern strike contract, universal exit statute, or Demeter taking a cabinet portfolio.</t>
        </is>
      </c>
      <c r="AG85" s="111" t="inlineStr">
        <is>
          <t>TH-01; UF-01; DT-01</t>
        </is>
      </c>
    </row>
  </sheetData>
  <autoFilter ref="A1:AG85"/>
  <conditionalFormatting sqref="L2:L200">
    <cfRule type="expression" rank="0" priority="2" equalAverage="0" aboveAverage="0" dxfId="3" text="" percent="0" bottom="0">
      <formula>$L2="Tier 1"</formula>
    </cfRule>
    <cfRule type="expression" rank="0" priority="3" equalAverage="0" aboveAverage="0" dxfId="4" text="" percent="0" bottom="0">
      <formula>$L2="Tier 1-2"</formula>
    </cfRule>
    <cfRule type="expression" rank="0" priority="4" equalAverage="0" aboveAverage="0" dxfId="5" text="" percent="0" bottom="0">
      <formula>$L2="Tier 2"</formula>
    </cfRule>
    <cfRule type="expression" rank="0" priority="5" equalAverage="0" aboveAverage="0" dxfId="6" text="" percent="0" bottom="0">
      <formula>$L2="Tier 3"</formula>
    </cfRule>
  </conditionalFormatting>
  <conditionalFormatting sqref="M2:M200">
    <cfRule type="expression" rank="0" priority="6" equalAverage="0" aboveAverage="0" dxfId="7" text="" percent="0" bottom="0">
      <formula>$M2="Needs source pass"</formula>
    </cfRule>
    <cfRule type="expression" rank="0" priority="7" equalAverage="0" aboveAverage="0" dxfId="8" text="" percent="0" bottom="0">
      <formula>$M2="Internal framework"</formula>
    </cfRule>
  </conditionalFormatting>
  <dataValidations count="7">
    <dataValidation sqref="B2:B200" showDropDown="0" showInputMessage="1" showErrorMessage="1" allowBlank="1" errorTitle="Invalid matrix value" error="Choose a value from the workbook list." promptTitle="Matrix field" prompt="Use the dropdown; leave blank only when the field is not applicable." type="list" errorStyle="stop">
      <formula1>Validation!$A$2:$A$19</formula1>
    </dataValidation>
    <dataValidation sqref="L2:L200" showDropDown="0" showInputMessage="1" showErrorMessage="1" allowBlank="1" errorTitle="Invalid matrix value" error="Choose a value from the workbook list." promptTitle="Matrix field" prompt="Use the dropdown; leave blank only when the field is not applicable." type="list" errorStyle="stop">
      <formula1>Validation!$C$2:$C$5</formula1>
    </dataValidation>
    <dataValidation sqref="Y2:Y200" showDropDown="0" showInputMessage="1" showErrorMessage="1" allowBlank="1" errorTitle="Invalid matrix value" error="Choose a value from the workbook list." promptTitle="Matrix field" prompt="Use the dropdown; leave blank only when the field is not applicable." type="list" errorStyle="stop">
      <formula1>Validation!$I$2:$I$7</formula1>
    </dataValidation>
    <dataValidation sqref="Z2:Z200" showDropDown="0" showInputMessage="1" showErrorMessage="1" allowBlank="1" errorTitle="Invalid matrix value" error="Choose a value from the workbook list." promptTitle="Matrix field" prompt="Use the dropdown; leave blank only when the field is not applicable." type="list" errorStyle="stop">
      <formula1>Validation!$I$2:$I$7</formula1>
    </dataValidation>
    <dataValidation sqref="AA2:AA200" showDropDown="0" showInputMessage="1" showErrorMessage="1" allowBlank="1" errorTitle="Invalid matrix value" error="Choose a value from the workbook list." promptTitle="Matrix field" prompt="Use the dropdown; leave blank only when the field is not applicable." type="list" errorStyle="stop">
      <formula1>Validation!$K$2:$K$7</formula1>
    </dataValidation>
    <dataValidation sqref="AC2:AC200" showDropDown="0" showInputMessage="1" showErrorMessage="1" allowBlank="1" errorTitle="Invalid matrix value" error="Choose a value from the workbook list." promptTitle="Matrix field" prompt="Use the dropdown; leave blank only when the field is not applicable." type="list" errorStyle="stop">
      <formula1>Validation!$M$2:$M$6</formula1>
    </dataValidation>
    <dataValidation sqref="AE2:AE200" showDropDown="0" showInputMessage="1" showErrorMessage="1" allowBlank="1" errorTitle="Invalid matrix value" error="Choose a value from the workbook list." promptTitle="Matrix field" prompt="Use the dropdown; leave blank only when the field is not applicable." type="list" errorStyle="stop">
      <formula1>Validation!$O$2:$O$8</formula1>
    </dataValidation>
  </dataValidations>
  <hyperlinks>
    <hyperlink xmlns:r="http://schemas.openxmlformats.org/officeDocument/2006/relationships" ref="W62" r:id="rId1"/>
    <hyperlink xmlns:r="http://schemas.openxmlformats.org/officeDocument/2006/relationships" ref="W63" r:id="rId2"/>
    <hyperlink xmlns:r="http://schemas.openxmlformats.org/officeDocument/2006/relationships" ref="W64" r:id="rId3"/>
    <hyperlink xmlns:r="http://schemas.openxmlformats.org/officeDocument/2006/relationships" ref="W65" r:id="rId4"/>
    <hyperlink xmlns:r="http://schemas.openxmlformats.org/officeDocument/2006/relationships" ref="W66" r:id="rId5"/>
    <hyperlink xmlns:r="http://schemas.openxmlformats.org/officeDocument/2006/relationships" ref="W67" r:id="rId6"/>
    <hyperlink xmlns:r="http://schemas.openxmlformats.org/officeDocument/2006/relationships" ref="W68" r:id="rId7"/>
    <hyperlink xmlns:r="http://schemas.openxmlformats.org/officeDocument/2006/relationships" ref="W69" r:id="rId8"/>
    <hyperlink xmlns:r="http://schemas.openxmlformats.org/officeDocument/2006/relationships" ref="W70" r:id="rId9"/>
    <hyperlink xmlns:r="http://schemas.openxmlformats.org/officeDocument/2006/relationships" ref="W71" r:id="rId10"/>
    <hyperlink xmlns:r="http://schemas.openxmlformats.org/officeDocument/2006/relationships" ref="W72" r:id="rId11"/>
    <hyperlink xmlns:r="http://schemas.openxmlformats.org/officeDocument/2006/relationships" ref="W73" r:id="rId12"/>
    <hyperlink xmlns:r="http://schemas.openxmlformats.org/officeDocument/2006/relationships" ref="W74" r:id="rId13"/>
    <hyperlink xmlns:r="http://schemas.openxmlformats.org/officeDocument/2006/relationships" ref="W75" r:id="rId14"/>
    <hyperlink xmlns:r="http://schemas.openxmlformats.org/officeDocument/2006/relationships" ref="W76" r:id="rId15"/>
    <hyperlink xmlns:r="http://schemas.openxmlformats.org/officeDocument/2006/relationships" ref="W77" r:id="rId16"/>
    <hyperlink xmlns:r="http://schemas.openxmlformats.org/officeDocument/2006/relationships" ref="W78" r:id="rId17"/>
    <hyperlink xmlns:r="http://schemas.openxmlformats.org/officeDocument/2006/relationships" ref="W79" r:id="rId18"/>
    <hyperlink xmlns:r="http://schemas.openxmlformats.org/officeDocument/2006/relationships" ref="W80" r:id="rId19"/>
    <hyperlink xmlns:r="http://schemas.openxmlformats.org/officeDocument/2006/relationships" ref="W81" r:id="rId20"/>
    <hyperlink xmlns:r="http://schemas.openxmlformats.org/officeDocument/2006/relationships" ref="W82" r:id="rId21"/>
    <hyperlink xmlns:r="http://schemas.openxmlformats.org/officeDocument/2006/relationships" ref="W83" r:id="rId22"/>
    <hyperlink xmlns:r="http://schemas.openxmlformats.org/officeDocument/2006/relationships" ref="W84" r:id="rId23"/>
    <hyperlink xmlns:r="http://schemas.openxmlformats.org/officeDocument/2006/relationships" ref="W85" r:id="rId24"/>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25"/>
  </tableParts>
</worksheet>
</file>

<file path=xl/worksheets/sheet4.xml><?xml version="1.0" encoding="utf-8"?>
<worksheet xmlns="http://schemas.openxmlformats.org/spreadsheetml/2006/main">
  <sheetPr>
    <outlinePr summaryBelow="1" summaryRight="1"/>
    <pageSetUpPr fitToPage="1"/>
  </sheetPr>
  <dimension ref="A1:G9"/>
  <sheetViews>
    <sheetView showGridLines="0" workbookViewId="0">
      <pane ySplit="4" topLeftCell="A5" activePane="bottomLeft" state="frozen"/>
      <selection pane="bottomLeft" activeCell="A1" sqref="A1"/>
    </sheetView>
  </sheetViews>
  <sheetFormatPr baseColWidth="8" defaultRowHeight="15"/>
  <cols>
    <col width="12" customWidth="1" style="61" min="1" max="1"/>
    <col width="25" customWidth="1" style="61" min="2" max="2"/>
    <col width="34" customWidth="1" style="61" min="3" max="3"/>
    <col width="43" customWidth="1" style="61" min="4" max="4"/>
    <col width="43" customWidth="1" style="61" min="5" max="5"/>
    <col width="40" customWidth="1" style="61" min="6" max="6"/>
    <col width="34" customWidth="1" style="61" min="7" max="7"/>
  </cols>
  <sheetData>
    <row r="1" ht="27" customHeight="1" s="61">
      <c r="A1" s="116" t="inlineStr">
        <is>
          <t>Story Bridge — matrix-grounded fiction seeds (not primary-source evidence)</t>
        </is>
      </c>
    </row>
    <row r="2" ht="36" customHeight="1" s="61">
      <c r="A2" s="117" t="inlineStr">
        <is>
          <t>Use after the matrix: every seed names its textual basis and its declared invention. v0.21 stops here; the next pass can write scenes.</t>
        </is>
      </c>
    </row>
    <row r="4" ht="36" customHeight="1" s="61">
      <c r="A4" s="118" t="inlineStr">
        <is>
          <t>Thread ID</t>
        </is>
      </c>
      <c r="B4" s="118" t="inlineStr">
        <is>
          <t>Matrix Basis</t>
        </is>
      </c>
      <c r="C4" s="118" t="inlineStr">
        <is>
          <t>Mythic Contrast</t>
        </is>
      </c>
      <c r="D4" s="118" t="inlineStr">
        <is>
          <t>Declared Fictional Transformation</t>
        </is>
      </c>
      <c r="E4" s="118" t="inlineStr">
        <is>
          <t>Non-negotiable Boundary</t>
        </is>
      </c>
      <c r="F4" s="118" t="inlineStr">
        <is>
          <t>Scene Seed</t>
        </is>
      </c>
      <c r="G4" s="118" t="inlineStr">
        <is>
          <t>Why It Matters</t>
        </is>
      </c>
    </row>
    <row r="5" ht="112" customHeight="1" s="61">
      <c r="A5" s="119" t="inlineStr">
        <is>
          <t>SB-001</t>
        </is>
      </c>
      <c r="B5" s="120" t="inlineStr">
        <is>
          <t>CO-001; TH-002; TR-01</t>
        </is>
      </c>
      <c r="C5" s="120" t="inlineStr">
        <is>
          <t>Wukong wants recognition yet learns how rank can be an empty cage.</t>
        </is>
      </c>
      <c r="D5" s="121" t="inlineStr">
        <is>
          <t>The Seventy-Third Change: not another canonical transformation, but remaining himself while refusing the title or throne he once craved.</t>
        </is>
      </c>
      <c r="E5" s="122" t="inlineStr">
        <is>
          <t>The novel gives Wukong seventy-two transformations. 'Seventy-third' is entirely our invention; the eighty-one ordeals belong to the pilgrimage structure.</t>
        </is>
      </c>
      <c r="F5" s="120" t="inlineStr">
        <is>
          <t>The court offers Wukong a perfect office whose only real condition is that he stop changing anything.</t>
        </is>
      </c>
      <c r="G5" s="120" t="inlineStr">
        <is>
          <t>Turns anti-capture into character growth instead of fabricated lore.</t>
        </is>
      </c>
    </row>
    <row r="6" ht="112" customHeight="1" s="61">
      <c r="A6" s="123" t="inlineStr">
        <is>
          <t>SB-002</t>
        </is>
      </c>
      <c r="B6" s="124" t="inlineStr">
        <is>
          <t>VA-001/002; AD-003; UF-007</t>
        </is>
      </c>
      <c r="C6" s="124" t="inlineStr">
        <is>
          <t>Echo can repeat but not originate; Cassandra originates truth but is not believed; Dike reports upward; Metis is internalized.</t>
        </is>
      </c>
      <c r="D6" s="121" t="inlineStr">
        <is>
          <t>A trial architecture separates origin, repetition, credibility, record, and judgment so no single divine office controls the whole signal.</t>
        </is>
      </c>
      <c r="E6" s="122" t="inlineStr">
        <is>
          <t>No ancient source records this court, its rules, or these figures serving as a constitutional panel.</t>
        </is>
      </c>
      <c r="F6" s="124" t="inlineStr">
        <is>
          <t>A witness says one sentence; Echo can carry only its ending, Cassandra knows whether it is true, and Dike can report only to the accused sovereign.</t>
        </is>
      </c>
      <c r="G6" s="124" t="inlineStr">
        <is>
          <t>Makes the courtroom problem structural rather than a casting chart.</t>
        </is>
      </c>
    </row>
    <row r="7" ht="112" customHeight="1" s="61">
      <c r="A7" s="119" t="inlineStr">
        <is>
          <t>SB-003</t>
        </is>
      </c>
      <c r="B7" s="120" t="inlineStr">
        <is>
          <t>TH-001..TH-008</t>
        </is>
      </c>
      <c r="C7" s="120" t="inlineStr">
        <is>
          <t>Inanna pays at gates; Wukong edits the ledger; Izanagi seals the road; Janus controls opening; Hecate supplies partial evidence and companionship.</t>
        </is>
      </c>
      <c r="D7" s="121" t="inlineStr">
        <is>
          <t>A lawful exit clause exists only if route, cost, record, escort, and appeal are held by different powers.</t>
        </is>
      </c>
      <c r="E7" s="122" t="inlineStr">
        <is>
          <t>Hecate does not guarantee an open route in the ancient sources; that is the story's explicit constitutional invention.</t>
        </is>
      </c>
      <c r="F7" s="120" t="inlineStr">
        <is>
          <t>The gods agree everyone may enter the new order, then discover no one has written a way to leave it.</t>
        </is>
      </c>
      <c r="G7" s="120" t="inlineStr">
        <is>
          <t>Gives the mythic coalition a concrete institutional problem.</t>
        </is>
      </c>
    </row>
    <row r="8" ht="112" customHeight="1" s="61">
      <c r="A8" s="123" t="inlineStr">
        <is>
          <t>SB-004</t>
        </is>
      </c>
      <c r="B8" s="124" t="inlineStr">
        <is>
          <t>CO-001..CO-006; TR-005</t>
        </is>
      </c>
      <c r="C8" s="124" t="inlineStr">
        <is>
          <t>Wukong receives empty rank; Erinyes receive durable honor; Karna gains real status; Joseph is genuinely empowered; Demeter forces concessions.</t>
        </is>
      </c>
      <c r="D8" s="121" t="inlineStr">
        <is>
          <t>Each offered office must reveal whether it is cage, settlement, friendship, responsibility, or surrender by the center.</t>
        </is>
      </c>
      <c r="E8" s="122" t="inlineStr">
        <is>
          <t>Hermes's settlement is reciprocal philia/gift exchange; Erinyes receive cultic honors, not literal civil-service posts.</t>
        </is>
      </c>
      <c r="F8" s="124" t="inlineStr">
        <is>
          <t>Five figures receive five nearly identical seals; only one document transfers actual power.</t>
        </is>
      </c>
      <c r="G8" s="124" t="inlineStr">
        <is>
          <t>Prevents the story from treating every compromise as betrayal.</t>
        </is>
      </c>
    </row>
    <row r="9" ht="112" customHeight="1" s="61">
      <c r="A9" s="119" t="inlineStr">
        <is>
          <t>SB-005</t>
        </is>
      </c>
      <c r="B9" s="120" t="inlineStr">
        <is>
          <t>VA-006/007; UF-008; TH-006</t>
        </is>
      </c>
      <c r="C9" s="120" t="inlineStr">
        <is>
          <t>Pan amplifies fear; Echo persists without guaranteed meaning; Nyx marks a limit Zeus does not cross; Hecate bridges only partial knowledge.</t>
        </is>
      </c>
      <c r="D9" s="121" t="inlineStr">
        <is>
          <t>The coalition wins not by louder speech but by preserving uncertainty that no sovereign can legally collapse into one authorized story.</t>
        </is>
      </c>
      <c r="E9" s="122" t="inlineStr">
        <is>
          <t>Pan never defeats Typhon with a canonical terror shout; Nyx does not head an ancient constitutional opposition.</t>
        </is>
      </c>
      <c r="F9" s="120" t="inlineStr">
        <is>
          <t>A signal crosses the mountain, but nobody—including Echo—can prove who originated it.</t>
        </is>
      </c>
      <c r="G9" s="120" t="inlineStr">
        <is>
          <t>Keeps ambiguity alive as plot pressure instead of pretending repetition equals truth.</t>
        </is>
      </c>
    </row>
  </sheetData>
  <autoFilter ref="A4:G9"/>
  <mergeCells count="2">
    <mergeCell ref="A2:G2"/>
    <mergeCell ref="A1:G1"/>
  </mergeCells>
  <pageMargins left="0.75" right="0.75" top="1" bottom="1" header="0.5" footer="0.5"/>
  <pageSetup fitToHeight="0" fitToWidth="1"/>
</worksheet>
</file>

<file path=xl/worksheets/sheet5.xml><?xml version="1.0" encoding="utf-8"?>
<worksheet xmlns="http://schemas.openxmlformats.org/spreadsheetml/2006/main">
  <sheetPr filterMode="0">
    <outlinePr summaryBelow="1" summaryRight="1"/>
    <pageSetUpPr fitToPage="0"/>
  </sheetPr>
  <dimension ref="A1:D3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0" min="1" max="1"/>
    <col width="22" customWidth="1" style="60" min="2" max="2"/>
    <col width="56" customWidth="1" style="60" min="3" max="3"/>
    <col width="52" customWidth="1" style="60" min="4" max="4"/>
  </cols>
  <sheetData>
    <row r="1" ht="17.25" customHeight="1" s="61">
      <c r="A1" s="125" t="inlineStr">
        <is>
          <t>v0.19 Change Log</t>
        </is>
      </c>
    </row>
    <row r="3" ht="15" customHeight="1" s="61">
      <c r="A3" s="126" t="inlineStr">
        <is>
          <t>#</t>
        </is>
      </c>
      <c r="B3" s="126" t="inlineStr">
        <is>
          <t>Area</t>
        </is>
      </c>
      <c r="C3" s="126" t="inlineStr">
        <is>
          <t>Change</t>
        </is>
      </c>
      <c r="D3" s="126" t="inlineStr">
        <is>
          <t>Rationale / Note</t>
        </is>
      </c>
    </row>
    <row r="4" ht="41.25" customHeight="1" s="61">
      <c r="A4" s="127" t="n">
        <v>1</v>
      </c>
      <c r="B4" s="127" t="inlineStr">
        <is>
          <t>Schema</t>
        </is>
      </c>
      <c r="C4" s="127" t="inlineStr">
        <is>
          <t>Added 3 columns to Master Matrix (Y/Z/AA): Motif Evidence Tier, Interpretation Tier, Row Status. Appended at the end (not inserted).</t>
        </is>
      </c>
      <c r="D4" s="127" t="inlineStr">
        <is>
          <t>Appending keeps every Dashboard/Index COUNTIF (which key on cols B and L) correct. No formula breakage.</t>
        </is>
      </c>
    </row>
    <row r="5" ht="41.25" customHeight="1" s="61">
      <c r="A5" s="127" t="n">
        <v>2</v>
      </c>
      <c r="B5" s="127" t="inlineStr">
        <is>
          <t>Schema</t>
        </is>
      </c>
      <c r="C5" s="127" t="inlineStr">
        <is>
          <t>Added backing legends on Validation (col I = Tier values; col K = Row Status values) and attached dropdowns to Y2:Y200, Z2:Z200, AA2:AA200.</t>
        </is>
      </c>
      <c r="D5" s="127" t="inlineStr">
        <is>
          <t>Standardized, mistake-resistant entry. Existing Cluster-ID / Confidence / Verification dropdowns untouched.</t>
        </is>
      </c>
    </row>
    <row r="6" ht="27.75" customHeight="1" s="61">
      <c r="A6" s="127" t="n">
        <v>3</v>
      </c>
      <c r="B6" s="127" t="inlineStr">
        <is>
          <t>Method</t>
        </is>
      </c>
      <c r="C6" s="127" t="inlineStr">
        <is>
          <t>Motif Evidence Tier and Interpretation Tier are scored independently; strong motif does NOT auto-raise interpretation.</t>
        </is>
      </c>
      <c r="D6" s="127" t="inlineStr">
        <is>
          <t>Per instruction. E.g. Tiamat motif Tier 1 but the gendered 'mother-order capture' interpretation is held at Tier 2.</t>
        </is>
      </c>
    </row>
    <row r="7" ht="27.75" customHeight="1" s="61">
      <c r="A7" s="127" t="n">
        <v>4</v>
      </c>
      <c r="B7" s="127" t="inlineStr">
        <is>
          <t>Coverage</t>
        </is>
      </c>
      <c r="C7" s="127" t="inlineStr">
        <is>
          <t>Row Status assigned to all 60 myth rows; Motif/Interp tiers populated for all rows.</t>
        </is>
      </c>
      <c r="D7" s="127" t="inlineStr">
        <is>
          <t>No new myth rows added; no rows deleted.</t>
        </is>
      </c>
    </row>
    <row r="8" ht="41.25" customHeight="1" s="61">
      <c r="A8" s="127" t="n">
        <v>5</v>
      </c>
      <c r="B8" s="127" t="inlineStr">
        <is>
          <t>Reclassify</t>
        </is>
      </c>
      <c r="C8" s="127" t="inlineStr">
        <is>
          <t>AD-001 and AD-002 -&gt; Methodology-only (flagged in place, not physically moved).</t>
        </is>
      </c>
      <c r="D8" s="127" t="inlineStr">
        <is>
          <t>AD-01 is a diagnostic lens, not an evidence cluster. Kept in-sheet to preserve Index AD-01 count; can be relocated to a Methodology sheet later if desired.</t>
        </is>
      </c>
    </row>
    <row r="9" ht="54.75" customHeight="1" s="61">
      <c r="A9" s="127" t="n">
        <v>6</v>
      </c>
      <c r="B9" s="127" t="inlineStr">
        <is>
          <t>Reclassify</t>
        </is>
      </c>
      <c r="C9" s="127" t="inlineStr">
        <is>
          <t>Downgrades / parks: SG-001 -&gt; Source-pass (park; cluster underbuilt); OO-003 -&gt; Source-pass (composite); DF-004 Medusa -&gt; Source-pass; UF-002 Kali -&gt; Source-pass; PB-003 Tlaltecuhtli &amp; DF-005 Coyolxauhqui -&gt; Source-pass.</t>
        </is>
      </c>
      <c r="D9" s="127" t="inlineStr">
        <is>
          <t>Each needs primary/secondary hardening or a pinned version before it can carry weight.</t>
        </is>
      </c>
    </row>
    <row r="10" ht="54.75" customHeight="1" s="61">
      <c r="A10" s="127" t="n">
        <v>7</v>
      </c>
      <c r="B10" s="127" t="inlineStr">
        <is>
          <t>Reclassify</t>
        </is>
      </c>
      <c r="C10" s="127" t="inlineStr">
        <is>
          <t>Quarantine: RF-005 Raven; TR-004 Coyote (named nation/version/collector required); DF-003 Lilith (split 3 strata; modern-overlay); DT-006 Jesus resurrection (high-care; living-tradition).</t>
        </is>
      </c>
      <c r="D10" s="127" t="inlineStr">
        <is>
          <t>Quarantine = handling discipline, not a claim the motif evidence is weak. DT-006 motif is Tier 1; interpretation capped at Tier 2-3 and never load-bearing.</t>
        </is>
      </c>
    </row>
    <row r="11" ht="27.75" customHeight="1" s="61">
      <c r="A11" s="127" t="n">
        <v>8</v>
      </c>
      <c r="B11" s="127" t="inlineStr">
        <is>
          <t>Reclassify</t>
        </is>
      </c>
      <c r="C11" s="127" t="inlineStr">
        <is>
          <t>Cut/Merge: OO-005 Baal/Yahweh -&gt; marked for splitting into two parallel rows (not done now, per no-new-rows rule).</t>
        </is>
      </c>
      <c r="D11" s="127" t="inlineStr">
        <is>
          <t>Too composite as one row. Do not cite as a single figure until split.</t>
        </is>
      </c>
    </row>
    <row r="12" ht="41.25" customHeight="1" s="61">
      <c r="A12" s="127" t="n">
        <v>9</v>
      </c>
      <c r="B12" s="127" t="inlineStr">
        <is>
          <t>Confirm</t>
        </is>
      </c>
      <c r="C12" s="127" t="inlineStr">
        <is>
          <t>Load-bearing set confirmed: PB-001, OO-001, RF-001, RF-007, FM-001, DT-001, DT-004, BW-001+DF-002 (paired), CC-001, CC-003, DV-001, DV-003, DV-004, UF-005, UF-006.</t>
        </is>
      </c>
      <c r="D12" s="127" t="inlineStr">
        <is>
          <t>These can carry a major argument as written (pending exact-passage source pass for the still-unsourced ones).</t>
        </is>
      </c>
    </row>
    <row r="13" ht="41.25" customHeight="1" s="61">
      <c r="A13" s="127" t="n">
        <v>10</v>
      </c>
      <c r="B13" s="127" t="inlineStr">
        <is>
          <t>Structure</t>
        </is>
      </c>
      <c r="C13" s="127" t="inlineStr">
        <is>
          <t>RF-01 sub-types populated for RF-001..005 (rebel-blood / stolen-fire / fallen-watchers / culture-hero); RF-006..008 already had sub-types.</t>
        </is>
      </c>
      <c r="D13" s="127" t="inlineStr">
        <is>
          <t>Per cluster instruction: use subtypes where possible.</t>
        </is>
      </c>
    </row>
    <row r="14" ht="68.25" customHeight="1" s="61">
      <c r="A14" s="127" t="n">
        <v>11</v>
      </c>
      <c r="B14" s="127" t="inlineStr">
        <is>
          <t>Structure</t>
        </is>
      </c>
      <c r="C14" s="127" t="inlineStr">
        <is>
          <t>Cluster notes recorded in-row: SG-01 underbuilt (harden); BW-01 underbuilt (Lamashtu/Pazuzu paired); AD-01 = lens/methodology; DR-01 = systems-history, adjacent to primary myth evidence; DF-01 vs UF-01 separation maintained (demonized != co-opted).</t>
        </is>
      </c>
      <c r="D14" s="127" t="inlineStr">
        <is>
          <t>Cross-listings flagged: Tiamat (PB-001/DF-001), Osiris (SC-003/DT-003), Baal (OO-005/DT-005).</t>
        </is>
      </c>
    </row>
    <row r="15" ht="27.75" customHeight="1" s="61">
      <c r="A15" s="127" t="n">
        <v>12</v>
      </c>
      <c r="B15" s="127" t="inlineStr">
        <is>
          <t>Sheets</t>
        </is>
      </c>
      <c r="C15" s="127" t="inlineStr">
        <is>
          <t>Added: 'Source Pass Priority' (10-packet order), 'Audit Notes' (top-10 source-pass), this 'v0.19 Change Log'.</t>
        </is>
      </c>
      <c r="D15" s="127" t="inlineStr">
        <is>
          <t>Existing 'Source Pass Queue' left intact as legacy; the new packet sheet organizes the same work by priority.</t>
        </is>
      </c>
    </row>
    <row r="16" ht="41.25" customHeight="1" s="61">
      <c r="A16" s="127" t="n">
        <v>13</v>
      </c>
      <c r="B16" s="127" t="inlineStr">
        <is>
          <t>Preserved</t>
        </is>
      </c>
      <c r="C16" s="127" t="inlineStr">
        <is>
          <t>Left untouched: existing Confidence Tier (col L) values, all Dashboard/Index formulas, and existing dropdowns.</t>
        </is>
      </c>
      <c r="D16" s="127" t="inlineStr">
        <is>
          <t>The two new tier columns supersede the single Confidence Tier for audit purposes; Confidence Tier kept so Dashboard counts still resolve.</t>
        </is>
      </c>
    </row>
    <row r="18" ht="15" customHeight="1" s="61">
      <c r="A18" s="128" t="inlineStr">
        <is>
          <t>v0.19.1 micro-patch (no rows added, no expansion)</t>
        </is>
      </c>
    </row>
    <row r="19" ht="15" customHeight="1" s="61">
      <c r="B19" s="88" t="inlineStr">
        <is>
          <t>Change</t>
        </is>
      </c>
      <c r="C19" s="88" t="inlineStr">
        <is>
          <t>Rationale</t>
        </is>
      </c>
    </row>
    <row r="20" ht="15" customHeight="1" s="61">
      <c r="B20" s="86" t="inlineStr">
        <is>
          <t>RF-008 Tubal-Cain</t>
        </is>
      </c>
      <c r="C20" s="86" t="inlineStr">
        <is>
          <t>Supportive -&gt; Source-pass</t>
        </is>
      </c>
      <c r="D20" s="86" t="inlineStr">
        <is>
          <t>Enforces: Interp Tier 3 cannot be Supportive/Load-bearing.</t>
        </is>
      </c>
    </row>
    <row r="21" ht="27.75" customHeight="1" s="61">
      <c r="B21" s="86" t="inlineStr">
        <is>
          <t>PB-005 Pangu</t>
        </is>
      </c>
      <c r="C21" s="86" t="inlineStr">
        <is>
          <t>Supportive -&gt; Source-pass (soft comparator only)</t>
        </is>
      </c>
      <c r="D21" s="86" t="inlineStr">
        <is>
          <t>Same rule; soft body-world comparator, no coup - cannot carry the capture argument.</t>
        </is>
      </c>
    </row>
    <row r="22" ht="27.75" customHeight="1" s="61">
      <c r="B22" s="86" t="inlineStr">
        <is>
          <t>PB-004 Purusha</t>
        </is>
      </c>
      <c r="C22" s="86" t="inlineStr">
        <is>
          <t>Source-pass -&gt; Supportive</t>
        </is>
      </c>
      <c r="D22" s="86" t="inlineStr">
        <is>
          <t>RV 10.90 anchor clean enough; interpretation still capped at Tier 2.</t>
        </is>
      </c>
    </row>
    <row r="23" ht="27.75" customHeight="1" s="61">
      <c r="B23" s="86" t="inlineStr">
        <is>
          <t>OO-005 Baal/Yahweh</t>
        </is>
      </c>
      <c r="C23" s="86" t="inlineStr">
        <is>
          <t>Stays Cut/Merge; marked INACTIVE</t>
        </is>
      </c>
      <c r="D23" s="86" t="inlineStr">
        <is>
          <t>Do not cite as a live row until split into Baal and Yahweh storm-war parallels.</t>
        </is>
      </c>
    </row>
    <row r="24" ht="27.75" customHeight="1" s="61">
      <c r="B24" s="86" t="inlineStr">
        <is>
          <t>DT-006 Jesus</t>
        </is>
      </c>
      <c r="C24" s="86" t="inlineStr">
        <is>
          <t>Stays Quarantine; clarified</t>
        </is>
      </c>
      <c r="D24" s="86" t="inlineStr">
        <is>
          <t>Quarantine = handling discipline; motif evidence remains Tier 1.</t>
        </is>
      </c>
    </row>
    <row r="25" ht="27.75" customHeight="1" s="61">
      <c r="B25" s="86" t="inlineStr">
        <is>
          <t>RF-005 Raven / TR-004 Coyote</t>
        </is>
      </c>
      <c r="C25" s="86" t="inlineStr">
        <is>
          <t>Stay Quarantine; clarified</t>
        </is>
      </c>
      <c r="D25" s="86" t="inlineStr">
        <is>
          <t>Motif Tier 3 = row-format/source-flattening, not denial of the motif in specific nations.</t>
        </is>
      </c>
    </row>
    <row r="26" ht="27.75" customHeight="1" s="61">
      <c r="B26" s="86" t="inlineStr">
        <is>
          <t>DR-001..003</t>
        </is>
      </c>
      <c r="C26" s="86" t="inlineStr">
        <is>
          <t>Stay Supportive</t>
        </is>
      </c>
      <c r="D26" s="86" t="inlineStr">
        <is>
          <t>Already noted as systems-history, adjacent to primary myth evidence (note carried from v0.19).</t>
        </is>
      </c>
    </row>
    <row r="27" ht="27.75" customHeight="1" s="61">
      <c r="B27" s="86" t="inlineStr">
        <is>
          <t>Governance</t>
        </is>
      </c>
      <c r="C27" s="86" t="inlineStr">
        <is>
          <t>3 rules centralized on Validation (K9-K11)</t>
        </is>
      </c>
      <c r="D27" s="86" t="inlineStr">
        <is>
          <t>Tier-3 bar; Quarantine = discipline not weakness; Cut/Merge = inactive until split.</t>
        </is>
      </c>
    </row>
    <row r="29" ht="15" customHeight="1" s="61">
      <c r="A29" s="128" t="inlineStr">
        <is>
          <t>v0.19.2 source-pass (anchors entered; tiers untouched)</t>
        </is>
      </c>
    </row>
    <row r="30" ht="27.75" customHeight="1" s="61">
      <c r="B30" s="86" t="inlineStr">
        <is>
          <t>Scope</t>
        </is>
      </c>
      <c r="C30" s="86" t="inlineStr">
        <is>
          <t>10 priority rows: OO-003, PB-003, DF-005, DF-004, UF-002, DF-003, OO-005, SG-001, RF-005, TR-004</t>
        </is>
      </c>
      <c r="D30" s="86" t="inlineStr">
        <is>
          <t>Verified anchors into P/Q/R/W; status in M; caveats in N. No re-tier (Y/Z), no rows, no cluster changes. K9-K11 stand.</t>
        </is>
      </c>
    </row>
    <row r="31" ht="41.25" customHeight="1" s="61">
      <c r="B31" s="86" t="inlineStr">
        <is>
          <t>Verified secondaries</t>
        </is>
      </c>
      <c r="C31" s="86" t="inlineStr">
        <is>
          <t>Milbrath 1997 (DF-005); Graulich 1983 (PB-003); Thornton &amp; Thornton 2015 (RF-005); Kinsley 1988 (UF-002); Blair 2009 (DF-003, as counter-voice)</t>
        </is>
      </c>
      <c r="D31" s="86" t="inlineStr">
        <is>
          <t>Independently re-checked against live sources this pass.</t>
        </is>
      </c>
    </row>
    <row r="32" ht="41.25" customHeight="1" s="61">
      <c r="B32" s="86" t="inlineStr">
        <is>
          <t>Citation fixes</t>
        </is>
      </c>
      <c r="C32" s="86" t="inlineStr">
        <is>
          <t>TR-004: GPT 'Toelken, Utah, 1984' -&gt; Ramsey 1977 (UW Press). DF-003: Blair recorded as COUNTER-voice (lilith = night bird, not demon).</t>
        </is>
      </c>
      <c r="D32" s="86" t="inlineStr">
        <is>
          <t>The two defective GPT citations flagged in the packet.</t>
        </is>
      </c>
    </row>
    <row r="33" ht="27.75" customHeight="1" s="61">
      <c r="B33" s="86" t="inlineStr">
        <is>
          <t>Not flipped to Sourced</t>
        </is>
      </c>
      <c r="C33" s="86" t="inlineStr">
        <is>
          <t>All M kept partial/parked; primaries (folios/lines/myth numbers) NOT opened in-edition.</t>
        </is>
      </c>
      <c r="D33" s="86" t="inlineStr">
        <is>
          <t>DF-005 is the nearest upgrade - Sourced once FC Bk 3 folios confirmed.</t>
        </is>
      </c>
    </row>
    <row r="34" ht="27.75" customHeight="1" s="61">
      <c r="B34" s="86" t="inlineStr">
        <is>
          <t>Tier-conflict flags</t>
        </is>
      </c>
      <c r="C34" s="86" t="inlineStr">
        <is>
          <t>DF-004 (Ovidian backstory) and SG-001 (Theogony thinner than the reading) recorded as NOTES only</t>
        </is>
      </c>
      <c r="D34" s="86" t="inlineStr">
        <is>
          <t>Per discipline: findings that challenge a tier are noted, tier left unchanged.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60" min="1" max="1"/>
    <col width="26" customWidth="1" style="60" min="2" max="2"/>
    <col width="62" customWidth="1" style="60" min="3" max="4"/>
  </cols>
  <sheetData>
    <row r="1" ht="17.35" customHeight="1" s="61">
      <c r="A1" s="125" t="inlineStr">
        <is>
          <t>v0.20 Change Log — source pass (Packets 1-2) + frame-test columns</t>
        </is>
      </c>
    </row>
    <row r="2" ht="15" customHeight="1" s="61">
      <c r="A2" s="129" t="inlineStr">
        <is>
          <t>Run 2026-07-29. No rows added, no rows deleted, no tiers changed, no existing formula touched. New columns appended at AB-AD so every Dashboard/Index COUNTIF on cols B and L stays correct.</t>
        </is>
      </c>
    </row>
    <row r="4" ht="15" customHeight="1" s="61">
      <c r="A4" s="130" t="inlineStr">
        <is>
          <t>#</t>
        </is>
      </c>
      <c r="B4" s="130" t="inlineStr">
        <is>
          <t>Area</t>
        </is>
      </c>
      <c r="C4" s="130" t="inlineStr">
        <is>
          <t>Change</t>
        </is>
      </c>
      <c r="D4" s="130" t="inlineStr">
        <is>
          <t>Rationale / Note</t>
        </is>
      </c>
    </row>
    <row r="5" ht="55.2" customHeight="1" s="61">
      <c r="A5" s="86" t="n">
        <v>1</v>
      </c>
      <c r="B5" s="86" t="inlineStr">
        <is>
          <t>Source pass</t>
        </is>
      </c>
      <c r="C5" s="86" t="inlineStr">
        <is>
          <t>Packets 1-2 of Source Pass Priority worked: Enuma Elis and Atra-hasis. Anchors entered into P/Q/R/W with status in M, caveats in N, next action in V, date in X. Rows: PB-001, DF-001, OO-001, RF-001, TR-001, FM-001.</t>
        </is>
      </c>
      <c r="D5" s="86" t="inlineStr">
        <is>
          <t>Clears the top of the workbook's own priority queue. PB-001 and OO-001 were marked Load-bearing while col P still read "TBD" - that contradiction is now closed.</t>
        </is>
      </c>
    </row>
    <row r="6" ht="41.75" customHeight="1" s="61">
      <c r="A6" s="86" t="n">
        <v>2</v>
      </c>
      <c r="B6" s="86" t="inlineStr">
        <is>
          <t>Source pass — NOT flipped to Sourced</t>
        </is>
      </c>
      <c r="C6" s="86" t="inlineStr">
        <is>
          <t>All six rows set to "Anchored (v0.20)", not Sourced. Line numbers came from translations and secondary quotation, not from opening Lambert 2013 or Lambert &amp; Millard 1969 in-edition.</t>
        </is>
      </c>
      <c r="D6" s="86" t="inlineStr">
        <is>
          <t>Matches the v0.19.2 precedent exactly. Anchored != Sourced. Ee IV lines are securely attested; Ee II and all Atra-hasis line numbers are NOT pinned and are flagged as such in col Q.</t>
        </is>
      </c>
    </row>
    <row r="7" ht="41.75" customHeight="1" s="61">
      <c r="A7" s="86" t="n">
        <v>3</v>
      </c>
      <c r="B7" s="86" t="inlineStr">
        <is>
          <t>Finding — OO-001</t>
        </is>
      </c>
      <c r="C7" s="86" t="inlineStr">
        <is>
          <t>The irrevocability clause is explicit in Enuma Elis II: Marduk's price includes "whatever I decree shall never be revoked, never changed", granted by the assembly in Tablet IV 1-34 BEFORE the battle.</t>
        </is>
      </c>
      <c r="D7" s="86" t="inlineStr">
        <is>
          <t>OO-01's core diagnostic is textual, not interpretive. Recommend a motif-tier review; tier NOT changed here, because a source pass does not re-tier.</t>
        </is>
      </c>
    </row>
    <row r="8" ht="41.75" customHeight="1" s="61">
      <c r="A8" s="86" t="n">
        <v>4</v>
      </c>
      <c r="B8" s="86" t="inlineStr">
        <is>
          <t>Finding — RF-001</t>
        </is>
      </c>
      <c r="C8" s="86" t="inlineStr">
        <is>
          <t>Lambert observes the assembly's charge against Qingu has no antecedent earlier in the epic. The guilt is retroactive.</t>
        </is>
      </c>
      <c r="D8" s="86" t="inlineStr">
        <is>
          <t>Supports the embedded-remainder reading and simultaneously makes the row a scapegoat case. Recommend an RF-001 &lt;-&gt; SC-01 cross-reference instead of a single cluster home.</t>
        </is>
      </c>
    </row>
    <row r="9" ht="55.2" customHeight="1" s="61">
      <c r="A9" s="86" t="n">
        <v>5</v>
      </c>
      <c r="B9" s="86" t="inlineStr">
        <is>
          <t>Finding — FM-001</t>
        </is>
      </c>
      <c r="C9" s="86" t="inlineStr">
        <is>
          <t>The flood is the third control after plague and drought, followed by permanent restrictions on childbirth, infant mortality and celibate classes. The labour revolt opens the epic and causes the creation of humans.</t>
        </is>
      </c>
      <c r="D9" s="86" t="inlineStr">
        <is>
          <t>Two consequences: the "Atrahasis labor row" the Index lists as OWED is substantiated and should be split into RF-01; and FM-01's "reset" framing understates a graduated population-management sequence.</t>
        </is>
      </c>
    </row>
    <row r="10" ht="41.75" customHeight="1" s="61">
      <c r="A10" s="86" t="n">
        <v>6</v>
      </c>
      <c r="B10" s="86" t="inlineStr">
        <is>
          <t>Schema</t>
        </is>
      </c>
      <c r="C10" s="86" t="inlineStr">
        <is>
          <t>Three columns appended: AB "Predicted-But-Absent (frame test)", AC "Fit Verdict" (dropdown), AD "Strongest Counter-Reading". Backing list on Validation col M, matching the sheet's existing two-column spacing.</t>
        </is>
      </c>
      <c r="D10" s="86" t="inlineStr">
        <is>
          <t>The matrix previously had a "Priesthood-Function Move" column and no column in which a row could fail to show one. Every row had to produce a capture reading. These columns give a row somewhere to say no.</t>
        </is>
      </c>
    </row>
    <row r="11" ht="41.75" customHeight="1" s="61">
      <c r="A11" s="86" t="n">
        <v>7</v>
      </c>
      <c r="B11" s="86" t="inlineStr">
        <is>
          <t>Governance</t>
        </is>
      </c>
      <c r="C11" s="86" t="inlineStr">
        <is>
          <t>Two rules added at Validation K12-K13: a cluster with no Poor fit or Counterexample has not been tested; and a Poor fit may not be resolved by widening the cluster definition.</t>
        </is>
      </c>
      <c r="D11" s="86" t="inlineStr">
        <is>
          <t>K13 is the one with teeth. Without it, AB/AC become a place to record mismatches and then absorb them.</t>
        </is>
      </c>
    </row>
    <row r="12" ht="55.2" customHeight="1" s="61">
      <c r="A12" s="86" t="n">
        <v>8</v>
      </c>
      <c r="B12" s="86" t="inlineStr">
        <is>
          <t>Frame test — populated</t>
        </is>
      </c>
      <c r="C12" s="86" t="inlineStr">
        <is>
          <t>9 rows scored honestly. PB-005 Pangu = Counterexample. PB-002 Ymir, PB-004 Purusha, DF-001 Tiamat, TR-001 Enki = Partial fit. PB-001, OO-001, RF-001, FM-001 = Fits. All remaining rows set to "Not yet tested" rather than left blank.</t>
        </is>
      </c>
      <c r="D12" s="86" t="inlineStr">
        <is>
          <t>"Not yet tested" is deliberate: it makes the size of the gap countable on the Dashboard instead of invisible.</t>
        </is>
      </c>
    </row>
    <row r="13" ht="41.75" customHeight="1" s="61">
      <c r="A13" s="86" t="n">
        <v>9</v>
      </c>
      <c r="B13" s="86" t="inlineStr">
        <is>
          <t>Frame test — Pangu</t>
        </is>
      </c>
      <c r="C13" s="86" t="inlineStr">
        <is>
          <t>PB-005 scored Counterexample, and the col N gloss "same architecture, different mood" flagged as the frame absorbing a mismatch rather than scoring it.</t>
        </is>
      </c>
      <c r="D13" s="86" t="inlineStr">
        <is>
          <t>This is the clearest case in the workbook of a non-fit being narrated into a fit. Preserved as a live counterexample rather than repaired.</t>
        </is>
      </c>
    </row>
    <row r="14" ht="41.75" customHeight="1" s="61">
      <c r="A14" s="86" t="n">
        <v>10</v>
      </c>
      <c r="B14" s="86" t="inlineStr">
        <is>
          <t>Dashboard</t>
        </is>
      </c>
      <c r="C14" s="86" t="inlineStr">
        <is>
          <t>Added a "FRAME TEST" block at J6:K15 with live COUNTIFs on Master Matrix col AC, plus an untested-share percentage. No existing Dashboard formula altered.</t>
        </is>
      </c>
      <c r="D14" s="86" t="inlineStr">
        <is>
          <t>Makes the absence of disconfirmation visible on the front page. Labelled as an audit gap, not a score.</t>
        </is>
      </c>
    </row>
    <row r="15" ht="41.75" customHeight="1" s="61">
      <c r="A15" s="86" t="n">
        <v>11</v>
      </c>
      <c r="B15" s="86" t="inlineStr">
        <is>
          <t>Observed defect — NOT fixed</t>
        </is>
      </c>
      <c r="C15" s="86" t="inlineStr">
        <is>
          <t>The Low/Medium/High/"Do not publish yet" dropdown is attached to column T (Model Notes). Its values match column U (Overclaim Risk), where the data actually sits.</t>
        </is>
      </c>
      <c r="D15" s="86" t="inlineStr">
        <is>
          <t>Left in place deliberately - moving a validation could disrupt existing entry habits. Flagged for your decision.</t>
        </is>
      </c>
    </row>
    <row r="16" ht="41.75" customHeight="1" s="61">
      <c r="A16" s="86" t="n">
        <v>12</v>
      </c>
      <c r="B16" s="86" t="inlineStr">
        <is>
          <t>Not done</t>
        </is>
      </c>
      <c r="C16" s="86" t="inlineStr">
        <is>
          <t>No rows added. No tiers changed. The Model Review Log is still empty. The remaining 20 rows at "TBD: identify primary text/artifact" are untouched.</t>
        </is>
      </c>
      <c r="D16" s="86" t="inlineStr">
        <is>
          <t>Packets 3-9 of Source Pass Priority remain open. Nahua (Packet 3) is the next highest-value target and already has verified secondaries from v0.19.2.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20"/>
  <sheetViews>
    <sheetView workbookViewId="0">
      <pane ySplit="4" topLeftCell="A5" activePane="bottomLeft" state="frozen"/>
      <selection pane="bottomLeft" activeCell="A1" sqref="A1"/>
    </sheetView>
  </sheetViews>
  <sheetFormatPr baseColWidth="8" defaultColWidth="8.6796875" defaultRowHeight="15" zeroHeight="0" outlineLevelRow="0"/>
  <cols>
    <col width="5" customWidth="1" style="60" min="1" max="1"/>
    <col width="26" customWidth="1" style="60" min="2" max="2"/>
    <col width="62" customWidth="1" style="60" min="3" max="4"/>
  </cols>
  <sheetData>
    <row r="1" ht="17.35" customHeight="1" s="61">
      <c r="A1" s="125" t="inlineStr">
        <is>
          <t>v0.21 Change Log — hard comparative pass + adaptation boundary</t>
        </is>
      </c>
    </row>
    <row r="2" ht="15" customHeight="1" s="61">
      <c r="A2" s="129" t="inlineStr">
        <is>
          <t>Run 2026-08-18. Added 24 source-bounded rows and three mechanism clusters; no legacy rows deleted. Matrix now 84 rows / 18 active codes (17 evidence clusters + AD-01 method lens).</t>
        </is>
      </c>
    </row>
    <row r="3"/>
    <row r="4" ht="15" customHeight="1" s="61">
      <c r="A4" s="130" t="inlineStr">
        <is>
          <t>#</t>
        </is>
      </c>
      <c r="B4" s="130" t="inlineStr">
        <is>
          <t>Area</t>
        </is>
      </c>
      <c r="C4" s="130" t="inlineStr">
        <is>
          <t>Change</t>
        </is>
      </c>
      <c r="D4" s="130" t="inlineStr">
        <is>
          <t>Rationale / Note</t>
        </is>
      </c>
    </row>
    <row r="5" ht="48" customHeight="1" s="61">
      <c r="A5" s="111" t="n">
        <v>1</v>
      </c>
      <c r="B5" s="111" t="inlineStr">
        <is>
          <t>Matrix expansion</t>
        </is>
      </c>
      <c r="C5" s="111" t="inlineStr">
        <is>
          <t>Added 24 rows: 7 VA, 8 TH, 6 CO, plus Dike (AD-003), Metis (UF-007), and Nyx (UF-008).</t>
        </is>
      </c>
      <c r="D5" s="111" t="inlineStr">
        <is>
          <t>Adds load-bearing fits, partials, and explicit counterexamples instead of a Greek casting chart.</t>
        </is>
      </c>
    </row>
    <row r="6" ht="48" customHeight="1" s="61">
      <c r="A6" s="111" t="n">
        <v>2</v>
      </c>
      <c r="B6" s="111" t="inlineStr">
        <is>
          <t>New cluster — VA-01</t>
        </is>
      </c>
      <c r="C6" s="111" t="inlineStr">
        <is>
          <t>Voice / Authorship / Signal Capture separates origin, repetition, transmission, record, credibility, and circulation.</t>
        </is>
      </c>
      <c r="D6" s="111" t="inlineStr">
        <is>
          <t>Echo, Cassandra, Enmerkar, Jeremiah/Baruch, Vāc, Pan; Vāc prevents a censorship-only universal.</t>
        </is>
      </c>
    </row>
    <row r="7" ht="48" customHeight="1" s="61">
      <c r="A7" s="111" t="n">
        <v>3</v>
      </c>
      <c r="B7" s="111" t="inlineStr">
        <is>
          <t>New cluster — TH-01</t>
        </is>
      </c>
      <c r="C7" s="111" t="inlineStr">
        <is>
          <t>Threshold / Exit / Jurisdiction requires a real gate, passage rule, route closure, record, escort, or surveillance mechanism.</t>
        </is>
      </c>
      <c r="D7" s="111" t="inlineStr">
        <is>
          <t>Rejects generic liminality. Hecate is a bounded partial fit; Nyx is a sovereignty-limit cross-link, not a gatekeeper.</t>
        </is>
      </c>
    </row>
    <row r="8" ht="48" customHeight="1" s="61">
      <c r="A8" s="111" t="n">
        <v>4</v>
      </c>
      <c r="B8" s="111" t="inlineStr">
        <is>
          <t>New cluster — CO-01</t>
        </is>
      </c>
      <c r="C8" s="111" t="inlineStr">
        <is>
          <t>Capture by Office / Promotion requires prior disruption plus an offer meant to redirect, bind, or genuinely reconcile.</t>
        </is>
      </c>
      <c r="D8" s="111" t="inlineStr">
        <is>
          <t>Wukong anchors explicit pacification; Daniel, Joseph, and Demeter keep promotion from automatically meaning capture.</t>
        </is>
      </c>
    </row>
    <row r="9" ht="48" customHeight="1" s="61">
      <c r="A9" s="111" t="n">
        <v>5</v>
      </c>
      <c r="B9" s="111" t="inlineStr">
        <is>
          <t>Schema</t>
        </is>
      </c>
      <c r="C9" s="111" t="inlineStr">
        <is>
          <t>Appended AE Evidence Mode, AF Adaptation Boundary / Project Invention, and AG Secondary Cluster(s).</t>
        </is>
      </c>
      <c r="D9" s="111" t="inlineStr">
        <is>
          <t>No legacy formula columns shifted. Unreviewed legacy rows say 'Legacy — not yet tagged' instead of silently inheriting a claim.</t>
        </is>
      </c>
    </row>
    <row r="10" ht="48" customHeight="1" s="61">
      <c r="A10" s="111" t="n">
        <v>6</v>
      </c>
      <c r="B10" s="111" t="inlineStr">
        <is>
          <t>Story discipline</t>
        </is>
      </c>
      <c r="C10" s="111" t="inlineStr">
        <is>
          <t>Added Story Bridge with five grounded fiction seeds but no prose draft.</t>
        </is>
      </c>
      <c r="D10" s="111" t="inlineStr">
        <is>
          <t>Matrix first, story next. Every seed states its primary basis and declared invention.</t>
        </is>
      </c>
    </row>
    <row r="11" ht="48" customHeight="1" s="61">
      <c r="A11" s="111" t="n">
        <v>7</v>
      </c>
      <c r="B11" s="111" t="inlineStr">
        <is>
          <t>Wukong correction</t>
        </is>
      </c>
      <c r="C11" s="111" t="inlineStr">
        <is>
          <t>72 transformations retained as canonical novel detail; the 73rd is declared invention; 81 ordeals belong to the pilgrimage structure.</t>
        </is>
      </c>
      <c r="D11" s="111" t="inlineStr">
        <is>
          <t>Prevents invented lore from entering the evidence column. The Seventy-Third Change becomes character growth: refusing the title he once wanted.</t>
        </is>
      </c>
    </row>
    <row r="12" ht="48" customHeight="1" s="61">
      <c r="A12" s="111" t="n">
        <v>8</v>
      </c>
      <c r="B12" s="111" t="inlineStr">
        <is>
          <t>Greek source correction</t>
        </is>
      </c>
      <c r="C12" s="111" t="inlineStr">
        <is>
          <t>Separated Ovid and Longus Echo; corrected Hecate witness claim; qualified Nyx; removed Pan/Typhon shout fusion; separated Hesiod and Prometheus Bound.</t>
        </is>
      </c>
      <c r="D12" s="111" t="inlineStr">
        <is>
          <t>Chronology and source layers now appear in-row, not only in warnings.</t>
        </is>
      </c>
    </row>
    <row r="13" ht="48" customHeight="1" s="61">
      <c r="A13" s="111" t="n">
        <v>9</v>
      </c>
      <c r="B13" s="111" t="inlineStr">
        <is>
          <t>Cross-links</t>
        </is>
      </c>
      <c r="C13" s="111" t="inlineStr">
        <is>
          <t>Updated selected legacy rows (Prometheus, Hermes, Persephone, Inanna, Athena, Delphi, Hephaestus) instead of duplicating them.</t>
        </is>
      </c>
      <c r="D13" s="111" t="inlineStr">
        <is>
          <t>One primary home; secondary mechanisms travel through AG.</t>
        </is>
      </c>
    </row>
    <row r="14" ht="48" customHeight="1" s="61">
      <c r="A14" s="111" t="n">
        <v>10</v>
      </c>
      <c r="B14" s="111" t="inlineStr">
        <is>
          <t>Workbook repair</t>
        </is>
      </c>
      <c r="C14" s="111" t="inlineStr">
        <is>
          <t>Rebuilt the Master table across A:AG and all 84 rows; repaired Cluster Legend and Cluster Build tables; added missing BW-01 build row.</t>
        </is>
      </c>
      <c r="D14" s="111" t="inlineStr">
        <is>
          <t>Original table/filter regions stopped before much of the live workbook.</t>
        </is>
      </c>
    </row>
    <row r="15" ht="48" customHeight="1" s="61">
      <c r="A15" s="111" t="n">
        <v>11</v>
      </c>
      <c r="B15" s="111" t="inlineStr">
        <is>
          <t>Validation repair</t>
        </is>
      </c>
      <c r="C15" s="111" t="inlineStr">
        <is>
          <t>Cluster dropdown now includes all active codes; Confidence moved to L; false dropdowns removed from K, L-verification, and T; Evidence Mode validation added at AE.</t>
        </is>
      </c>
      <c r="D15" s="111" t="inlineStr">
        <is>
          <t>Verification remains meaningful free text because v0.20 already uses 19 source-status phrases.</t>
        </is>
      </c>
    </row>
    <row r="16" ht="48" customHeight="1" s="61">
      <c r="A16" s="111" t="n">
        <v>12</v>
      </c>
      <c r="B16" s="111" t="inlineStr">
        <is>
          <t>Formatting repair</t>
        </is>
      </c>
      <c r="C16" s="111" t="inlineStr">
        <is>
          <t>Moved tier conditional formatting K→L and source-status formatting L→M; extended rules to row 200.</t>
        </is>
      </c>
      <c r="D16" s="111" t="inlineStr">
        <is>
          <t>Matches the current 30+ column schema.</t>
        </is>
      </c>
    </row>
    <row r="17" ht="48" customHeight="1" s="61">
      <c r="A17" s="111" t="n">
        <v>13</v>
      </c>
      <c r="B17" s="111" t="inlineStr">
        <is>
          <t>Dashboard / Index</t>
        </is>
      </c>
      <c r="C17" s="111" t="inlineStr">
        <is>
          <t>Reconciled 84-row count, added all three clusters, rebuilt chart as one numeric series, and added evidence-mode counts.</t>
        </is>
      </c>
      <c r="D17" s="111" t="inlineStr">
        <is>
          <t>Original cover text said 41/13 and the chart omitted four active clusters.</t>
        </is>
      </c>
    </row>
    <row r="18" ht="48" customHeight="1" s="61">
      <c r="A18" s="111" t="n">
        <v>14</v>
      </c>
      <c r="B18" s="111" t="inlineStr">
        <is>
          <t>Prompts / queues</t>
        </is>
      </c>
      <c r="C18" s="111" t="inlineStr">
        <is>
          <t>Added MR-08 adaptation audit, MR-09 cluster-home audit, three source packets, three regional lanes, and a completed review-log entry.</t>
        </is>
      </c>
      <c r="D18" s="111" t="inlineStr">
        <is>
          <t>The workbook now contains its next verification work rather than presenting v0.21 as fully sourced.</t>
        </is>
      </c>
    </row>
    <row r="19" ht="48" customHeight="1" s="61">
      <c r="A19" s="111" t="n">
        <v>15</v>
      </c>
      <c r="B19" s="111" t="inlineStr">
        <is>
          <t>Not done</t>
        </is>
      </c>
      <c r="C19" s="111" t="inlineStr">
        <is>
          <t>No story prose written; no claim that every new row is publication-ready; no full evidence-mode backfill across the 53 unreviewed legacy rows.</t>
        </is>
      </c>
      <c r="D19" s="111" t="inlineStr">
        <is>
          <t>Those are the next passes. Boundaries are visible rather than concealed.</t>
        </is>
      </c>
    </row>
    <row r="20"/>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60" min="1" max="1"/>
    <col width="10" customWidth="1" style="60" min="2" max="2"/>
    <col width="30" customWidth="1" style="60" min="3" max="3"/>
    <col width="16" customWidth="1" style="60" min="4" max="4"/>
    <col width="62" customWidth="1" style="60" min="5" max="5"/>
  </cols>
  <sheetData>
    <row r="1" ht="17.25" customHeight="1" s="61">
      <c r="A1" s="125" t="inlineStr">
        <is>
          <t>Audit Notes - 10 rows most needing a source-pass (v0.19)</t>
        </is>
      </c>
    </row>
    <row r="3" ht="15" customHeight="1" s="61">
      <c r="A3" s="126" t="inlineStr">
        <is>
          <t>Rank</t>
        </is>
      </c>
      <c r="B3" s="126" t="inlineStr">
        <is>
          <t>ID</t>
        </is>
      </c>
      <c r="C3" s="126" t="inlineStr">
        <is>
          <t>Figure / Row</t>
        </is>
      </c>
      <c r="D3" s="126" t="inlineStr">
        <is>
          <t>Row Status</t>
        </is>
      </c>
      <c r="E3" s="126" t="inlineStr">
        <is>
          <t>Why it most needs a source-pass</t>
        </is>
      </c>
    </row>
    <row r="4" ht="27.75" customHeight="1" s="61">
      <c r="A4" s="127" t="n">
        <v>1</v>
      </c>
      <c r="B4" s="127" t="inlineStr">
        <is>
          <t>OO-003</t>
        </is>
      </c>
      <c r="C4" s="127" t="inlineStr">
        <is>
          <t>Tezcatlipoca / Quetzalcoatl</t>
        </is>
      </c>
      <c r="D4" s="127" t="inlineStr">
        <is>
          <t>Source-pass</t>
        </is>
      </c>
      <c r="E4" s="127" t="inlineStr">
        <is>
          <t>Too composite to source as one row; cosmogonic orderings vary by source. Pin exact version/source (Nahua packet) before any use.</t>
        </is>
      </c>
    </row>
    <row r="5" ht="27.75" customHeight="1" s="61">
      <c r="A5" s="127" t="n">
        <v>2</v>
      </c>
      <c r="B5" s="127" t="inlineStr">
        <is>
          <t>PB-003</t>
        </is>
      </c>
      <c r="C5" s="127" t="inlineStr">
        <is>
          <t>Tlaltecuhtli</t>
        </is>
      </c>
      <c r="D5" s="127" t="inlineStr">
        <is>
          <t>Source-pass</t>
        </is>
      </c>
      <c r="E5" s="127" t="inlineStr">
        <is>
          <t>Earth-body dismemberment survives mainly via a colonial intermediary (Histoyre du Mechique). Pin the passage; living-tradition care.</t>
        </is>
      </c>
    </row>
    <row r="6" ht="41.25" customHeight="1" s="61">
      <c r="A6" s="127" t="n">
        <v>3</v>
      </c>
      <c r="B6" s="127" t="inlineStr">
        <is>
          <t>DF-005</t>
        </is>
      </c>
      <c r="C6" s="127" t="inlineStr">
        <is>
          <t>Coyolxauhqui</t>
        </is>
      </c>
      <c r="D6" s="127" t="inlineStr">
        <is>
          <t>Source-pass</t>
        </is>
      </c>
      <c r="E6" s="127" t="inlineStr">
        <is>
          <t>Strong motif (text + the excavated stone) but needs the exact Sahagun book/chapter and Coyolxauhqui-stone scholarship pinned; appropriation care.</t>
        </is>
      </c>
    </row>
    <row r="7" ht="41.25" customHeight="1" s="61">
      <c r="A7" s="127" t="n">
        <v>4</v>
      </c>
      <c r="B7" s="127" t="inlineStr">
        <is>
          <t>DF-004</t>
        </is>
      </c>
      <c r="C7" s="127" t="inlineStr">
        <is>
          <t>Medusa</t>
        </is>
      </c>
      <c r="D7" s="127" t="inlineStr">
        <is>
          <t>Source-pass</t>
        </is>
      </c>
      <c r="E7" s="127" t="inlineStr">
        <is>
          <t>Interpretation depends entirely on version/iconography; the sympathetic 'victim' reading is largely Ovidian (late reception). Pin which version the row uses.</t>
        </is>
      </c>
    </row>
    <row r="8" ht="27.75" customHeight="1" s="61">
      <c r="A8" s="127" t="n">
        <v>5</v>
      </c>
      <c r="B8" s="127" t="inlineStr">
        <is>
          <t>UF-002</t>
        </is>
      </c>
      <c r="C8" s="127" t="inlineStr">
        <is>
          <t>Kali</t>
        </is>
      </c>
      <c r="D8" s="127" t="inlineStr">
        <is>
          <t>Source-pass</t>
        </is>
      </c>
      <c r="E8" s="127" t="inlineStr">
        <is>
          <t>Too broad as written - conflates Puranic, Tantric, and Bengali devotional strands. Narrow to a specific text/tradition; living-tradition care.</t>
        </is>
      </c>
    </row>
    <row r="9" ht="41.25" customHeight="1" s="61">
      <c r="A9" s="127" t="n">
        <v>6</v>
      </c>
      <c r="B9" s="127" t="inlineStr">
        <is>
          <t>DF-003</t>
        </is>
      </c>
      <c r="C9" s="127" t="inlineStr">
        <is>
          <t>Lilith</t>
        </is>
      </c>
      <c r="D9" s="127" t="inlineStr">
        <is>
          <t>Quarantine</t>
        </is>
      </c>
      <c r="E9" s="127" t="inlineStr">
        <is>
          <t>Conflates three strata: ancient lilitu night-demon, medieval Alphabet of Ben Sira refusal-wife, modern reclamation. Split and date each; modern-overlay risk.</t>
        </is>
      </c>
    </row>
    <row r="10" ht="27.75" customHeight="1" s="61">
      <c r="A10" s="127" t="n">
        <v>7</v>
      </c>
      <c r="B10" s="127" t="inlineStr">
        <is>
          <t>OO-005</t>
        </is>
      </c>
      <c r="C10" s="127" t="inlineStr">
        <is>
          <t>Baal / Yahweh storm-war</t>
        </is>
      </c>
      <c r="D10" s="127" t="inlineStr">
        <is>
          <t>Cut/Merge</t>
        </is>
      </c>
      <c r="E10" s="127" t="inlineStr">
        <is>
          <t>Two distinct figures fused into one row. Split into Baal (Ugaritic Baal Cycle) and Yahweh storm-war as parallels; source each separately.</t>
        </is>
      </c>
    </row>
    <row r="11" ht="41.25" customHeight="1" s="61">
      <c r="A11" s="127" t="n">
        <v>8</v>
      </c>
      <c r="B11" s="127" t="inlineStr">
        <is>
          <t>SG-001</t>
        </is>
      </c>
      <c r="C11" s="127" t="inlineStr">
        <is>
          <t>Zeus on Mount Ida</t>
        </is>
      </c>
      <c r="D11" s="127" t="inlineStr">
        <is>
          <t>Source-pass</t>
        </is>
      </c>
      <c r="E11" s="127" t="inlineStr">
        <is>
          <t>Sacred-geography row too thin and version-muddled (Cretan vs Troad Ida). Harden with specific land-claim sources or keep parked; SG-01 cluster underbuilt.</t>
        </is>
      </c>
    </row>
    <row r="12" ht="27.75" customHeight="1" s="61">
      <c r="A12" s="127" t="n">
        <v>9</v>
      </c>
      <c r="B12" s="127" t="inlineStr">
        <is>
          <t>RF-005</t>
        </is>
      </c>
      <c r="C12" s="127" t="inlineStr">
        <is>
          <t>Raven</t>
        </is>
      </c>
      <c r="D12" s="127" t="inlineStr">
        <is>
          <t>Quarantine</t>
        </is>
      </c>
      <c r="E12" s="127" t="inlineStr">
        <is>
          <t>Pan-'Raven' flattens many distinct nations. Do not use until tied to a named nation/version/collector. High source-ethics.</t>
        </is>
      </c>
    </row>
    <row r="13" ht="27.75" customHeight="1" s="61">
      <c r="A13" s="127" t="n">
        <v>10</v>
      </c>
      <c r="B13" s="127" t="inlineStr">
        <is>
          <t>TR-004</t>
        </is>
      </c>
      <c r="C13" s="127" t="inlineStr">
        <is>
          <t>Coyote</t>
        </is>
      </c>
      <c r="D13" s="127" t="inlineStr">
        <is>
          <t>Quarantine</t>
        </is>
      </c>
      <c r="E13" s="127" t="inlineStr">
        <is>
          <t>Pan-'Coyote' flattens many distinct nations. Do not use until tied to a named nation/version/collector. High source-ethics.</t>
        </is>
      </c>
    </row>
    <row r="15" ht="23.25" customHeight="1" s="61">
      <c r="A15" s="131" t="inlineStr">
        <is>
          <t>Also queued: RF-004 Maui &amp; TR-003 Anansi (named tradition/collector required); PB-005 Pangu (soft comparator - must not carry the capture argument); RF-008 Tubal-Cain (interpretation Tier 3 - the metallurgy-curse reading is a later layer).</t>
        </is>
      </c>
    </row>
  </sheetData>
  <mergeCells count="1">
    <mergeCell ref="A15:E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0" min="1" max="1"/>
    <col width="24" customWidth="1" style="60" min="2" max="2"/>
    <col width="26" customWidth="1" style="60" min="3" max="3"/>
    <col width="20" customWidth="1" style="60" min="4" max="4"/>
    <col width="40" customWidth="1" style="60" min="5" max="5"/>
    <col width="46" customWidth="1" style="60" min="6" max="6"/>
    <col width="34" customWidth="1" style="60" min="7" max="7"/>
  </cols>
  <sheetData>
    <row r="1" ht="17.25" customHeight="1" s="61">
      <c r="A1" s="125" t="inlineStr">
        <is>
          <t>Source Pass Priority - v0.21 (work top-to-bottom)</t>
        </is>
      </c>
    </row>
    <row r="3" ht="15" customHeight="1" s="61">
      <c r="A3" s="126" t="inlineStr">
        <is>
          <t>#</t>
        </is>
      </c>
      <c r="B3" s="126" t="inlineStr">
        <is>
          <t>Packet</t>
        </is>
      </c>
      <c r="C3" s="126" t="inlineStr">
        <is>
          <t>Rows</t>
        </is>
      </c>
      <c r="D3" s="126" t="inlineStr">
        <is>
          <t>Tradition / Lane</t>
        </is>
      </c>
      <c r="E3" s="126" t="inlineStr">
        <is>
          <t>Primary Sources / Editions</t>
        </is>
      </c>
      <c r="F3" s="126" t="inlineStr">
        <is>
          <t>What to Check / Verify</t>
        </is>
      </c>
      <c r="G3" s="126" t="inlineStr">
        <is>
          <t>Notes</t>
        </is>
      </c>
    </row>
    <row r="4" ht="54.75" customHeight="1" s="61">
      <c r="A4" s="127" t="n">
        <v>1</v>
      </c>
      <c r="B4" s="127" t="inlineStr">
        <is>
          <t>Enuma Elis</t>
        </is>
      </c>
      <c r="C4" s="127" t="inlineStr">
        <is>
          <t>PB-001, OO-001, RF-001, DF-001</t>
        </is>
      </c>
      <c r="D4" s="127" t="inlineStr">
        <is>
          <t>Babylonian / Mesopotamian</t>
        </is>
      </c>
      <c r="E4" s="127" t="inlineStr">
        <is>
          <t>eBL (electronic Babylonian Library); Lambert, Babylonian Creation Myths; Dalley, Myths from Mesopotamia</t>
        </is>
      </c>
      <c r="F4" s="127" t="inlineStr">
        <is>
          <t>Tablet IV: Tiamat body -&gt; world. Tablet VI: Qingu/Kingu blood + human labor. Akitu context: Marduk's state-theological function.</t>
        </is>
      </c>
      <c r="G4" s="127" t="inlineStr">
        <is>
          <t>Core load-bearing packet. PB-001/OO-001/RF-001 carry the matrix; DF-001 is the demonized-feminine read of the same figure (cite once).</t>
        </is>
      </c>
    </row>
    <row r="5" ht="41.25" customHeight="1" s="61">
      <c r="A5" s="127" t="n">
        <v>2</v>
      </c>
      <c r="B5" s="127" t="inlineStr">
        <is>
          <t>Atrahasis</t>
        </is>
      </c>
      <c r="C5" s="127" t="inlineStr">
        <is>
          <t>FM-001</t>
        </is>
      </c>
      <c r="D5" s="127" t="inlineStr">
        <is>
          <t>Babylonian / Mesopotamian</t>
        </is>
      </c>
      <c r="E5" s="127" t="inlineStr">
        <is>
          <t>Lambert &amp; Millard, Atra-hasis; Dalley; Foster, Before the Muses</t>
        </is>
      </c>
      <c r="F5" s="127" t="inlineStr">
        <is>
          <t>Lower gods' labor revolt; human replacement labor; flood/noise problem; post-flood population controls.</t>
        </is>
      </c>
      <c r="G5" s="127" t="inlineStr">
        <is>
          <t>Load-bearing. Strongest single flood row; labor-conflict + administrative reset are in the text.</t>
        </is>
      </c>
    </row>
    <row r="6" ht="68.25" customHeight="1" s="61">
      <c r="A6" s="127" t="n">
        <v>3</v>
      </c>
      <c r="B6" s="127" t="inlineStr">
        <is>
          <t>Nahua / Mexica</t>
        </is>
      </c>
      <c r="C6" s="127" t="inlineStr">
        <is>
          <t>PB-003, OO-003, DF-005</t>
        </is>
      </c>
      <c r="D6" s="127" t="inlineStr">
        <is>
          <t>Nahua / Mexica</t>
        </is>
      </c>
      <c r="E6" s="127" t="inlineStr">
        <is>
          <t>Historia de los Mexicanos por sus pinturas; Histoyre du Mechique; Sahagun (Florentine Codex); Templo Mayor archaeology; Coyolxauhqui studies</t>
        </is>
      </c>
      <c r="F6" s="127" t="inlineStr">
        <is>
          <t>Earth-body dismemberment + ritual feeding (Tlaltecuhtli); cosmogonic orderings (Tezcatlipoca/Quetzalcoatl); Coatepec dismemberment + the Coyolxauhqui stone.</t>
        </is>
      </c>
      <c r="G6" s="127" t="inlineStr">
        <is>
          <t>All three are Source-pass: colonial-intermediary sources; pin exact passages. Living-tradition + appropriation care. Separate Maya / Nahua / others.</t>
        </is>
      </c>
    </row>
    <row r="7" ht="41.25" customHeight="1" s="61">
      <c r="A7" s="127" t="n">
        <v>4</v>
      </c>
      <c r="B7" s="127" t="inlineStr">
        <is>
          <t>Norse / Germanic</t>
        </is>
      </c>
      <c r="C7" s="127" t="inlineStr">
        <is>
          <t>PB-002, OO-002, RF-007, TR-002</t>
        </is>
      </c>
      <c r="D7" s="127" t="inlineStr">
        <is>
          <t>Norse / Germanic</t>
        </is>
      </c>
      <c r="E7" s="127" t="inlineStr">
        <is>
          <t>Snorri, Gylfaginning; Poetic Edda; Vafthrudnismal; Grimnismal; Volundarkvida; Deor</t>
        </is>
      </c>
      <c r="F7" s="127" t="inlineStr">
        <is>
          <t>Ymir corpse-world mapping; Odin &amp; brothers ordering; Wayland captured/hamstrung smith + winged escape; Loki boundary-crossing + binding.</t>
        </is>
      </c>
      <c r="G7" s="127" t="inlineStr">
        <is>
          <t>RF-007 is load-bearing (most directly textual capture in the cluster). Note Christian-era transmission layer.</t>
        </is>
      </c>
    </row>
    <row r="8" ht="54.75" customHeight="1" s="61">
      <c r="A8" s="127" t="n">
        <v>5</v>
      </c>
      <c r="B8" s="127" t="inlineStr">
        <is>
          <t>Greek</t>
        </is>
      </c>
      <c r="C8" s="127" t="inlineStr">
        <is>
          <t>RF-002, RF-006, DF-004, TR-005, DT-002, UF-003</t>
        </is>
      </c>
      <c r="D8" s="127" t="inlineStr">
        <is>
          <t>Greek</t>
        </is>
      </c>
      <c r="E8" s="127" t="inlineStr">
        <is>
          <t>Hesiod (Theogony, Works &amp; Days); Homeric Hymn to Demeter; Homeric Hymn to Hermes; Iliad/Odyssey (Hephaestus); Aeschylean Prometheus; Ovid = LATER RECEPTION ONLY</t>
        </is>
      </c>
      <c r="F8" s="127" t="inlineStr">
        <is>
          <t>Fire-theft + punishment; subordinated maker-smith; Gorgon version/iconography; infant cattle-theft trickster; abduction + Eleusinian gating; Athena's elevation-as-capture.</t>
        </is>
      </c>
      <c r="G8" s="127" t="inlineStr">
        <is>
          <t>DF-004 (Medusa) is Source-pass - version-dependent; keep Ovid strictly as late reception, not the base text.</t>
        </is>
      </c>
    </row>
    <row r="9" ht="54.75" customHeight="1" s="61">
      <c r="A9" s="127" t="n">
        <v>6</v>
      </c>
      <c r="B9" s="127" t="inlineStr">
        <is>
          <t>Indic</t>
        </is>
      </c>
      <c r="C9" s="127" t="inlineStr">
        <is>
          <t>PB-004, OO-004, FM-003, UF-002, UF-004</t>
        </is>
      </c>
      <c r="D9" s="127" t="inlineStr">
        <is>
          <t>Vedic / Indic</t>
        </is>
      </c>
      <c r="E9" s="127" t="inlineStr">
        <is>
          <t>Rig Veda 10.90 (Purusasukta); RV 1.32 (Indra-Vrtra); Satapatha Brahmana 1.8.1; Devi Mahatmya; source-specific Kali materials</t>
        </is>
      </c>
      <c r="F9" s="127" t="inlineStr">
        <is>
          <t>Cosmic-body -&gt; varna; serpent withholds/releases waters; Manu + the fish; Durga assembled from male gods (HOLD the supreme-Devi inversion); narrow Kali to a specific tradition.</t>
        </is>
      </c>
      <c r="G9" s="127" t="inlineStr">
        <is>
          <t>Living-tradition care throughout (Purusha, Indra, Manu, Kali, Durga). UF-002 Kali is Source-pass: too broad as written.</t>
        </is>
      </c>
    </row>
    <row r="10" ht="41.25" customHeight="1" s="61">
      <c r="A10" s="127" t="n">
        <v>7</v>
      </c>
      <c r="B10" s="127" t="inlineStr">
        <is>
          <t>Lamashtu / Pazuzu</t>
        </is>
      </c>
      <c r="C10" s="127" t="inlineStr">
        <is>
          <t>DF-002, BW-001</t>
        </is>
      </c>
      <c r="D10" s="127" t="inlineStr">
        <is>
          <t>Mesopotamian</t>
        </is>
      </c>
      <c r="E10" s="127" t="inlineStr">
        <is>
          <t>Mesopotamian incantations; amulets; plaques; Wiggermann; Farber; museum records (e.g., Louvre, BM)</t>
        </is>
      </c>
      <c r="F10" s="127" t="inlineStr">
        <is>
          <t>Pazuzu deployed apotropaically against Lamashtu; birth-threshold warding; material/iconographic record.</t>
        </is>
      </c>
      <c r="G10" s="127" t="inlineStr">
        <is>
          <t>Paired case = load-bearing. BW-01 cluster underbuilt (single row) - build it out from the material record.</t>
        </is>
      </c>
    </row>
    <row r="11" ht="81.75" customHeight="1" s="61">
      <c r="A11" s="127" t="n">
        <v>8</v>
      </c>
      <c r="B11" s="127" t="inlineStr">
        <is>
          <t>Institutional</t>
        </is>
      </c>
      <c r="C11" s="127" t="inlineStr">
        <is>
          <t>CC-001, CC-002, CC-003, DV-001 - DV-004</t>
        </is>
      </c>
      <c r="D11" s="127" t="inlineStr">
        <is>
          <t>ANE / Mediterranean / China</t>
        </is>
      </c>
      <c r="E11" s="127" t="inlineStr">
        <is>
          <t>Hittite treaties; Exodus/Deuteronomy covenant forms; Esarhaddon Succession Treaty (SAA editions); Lambert oracle-query (tamitu); Herodotus/Plutarch (Delphi); Cicero/Livy (Roman divination); Shang oracle-bone corpora</t>
        </is>
      </c>
      <c r="F11" s="127" t="inlineStr">
        <is>
          <t>Suzerainty-treaty form ported to the sacred; Jubilee doubled-creditor; Deut 28 // Esarhaddon curse-formulae (formal kinship, NOT proven copying); diviner-as-gate (extispicy, Delphi, augury/haruspicy, pyro-osteomancy).</t>
        </is>
      </c>
      <c r="G11" s="127" t="inlineStr">
        <is>
          <t>Central priesthood-function engine. Strong cluster; assert structural kinship, flag contested dating/dependence.</t>
        </is>
      </c>
    </row>
    <row r="12" ht="68.25" customHeight="1" s="61">
      <c r="A12" s="127" t="n">
        <v>9</v>
      </c>
      <c r="B12" s="127" t="inlineStr">
        <is>
          <t>Living oral-trickster</t>
        </is>
      </c>
      <c r="C12" s="127" t="inlineStr">
        <is>
          <t>RF-004, RF-005, TR-003, TR-004</t>
        </is>
      </c>
      <c r="D12" s="127" t="inlineStr">
        <is>
          <t>Polynesian / Akan / Indigenous N. American</t>
        </is>
      </c>
      <c r="E12" s="127" t="inlineStr">
        <is>
          <t>Named tradition + named version + named collector REQUIRED before any row passes</t>
        </is>
      </c>
      <c r="F12" s="127" t="inlineStr">
        <is>
          <t>No pan-Indigenous or pan-Polynesian rows. Tie Maui to a named iwi; Anansi to a named Akan source/collector; Raven and Coyote to a named nation/version.</t>
        </is>
      </c>
      <c r="G12" s="127" t="inlineStr">
        <is>
          <t>RF-005 Raven &amp; TR-004 Coyote = QUARANTINE until named. RF-004 Maui &amp; TR-003 Anansi = Source-pass. High source-ethics; no outsider 'real meaning' claims.</t>
        </is>
      </c>
    </row>
    <row r="13" ht="41.25" customHeight="1" s="61">
      <c r="A13" s="127" t="n">
        <v>10</v>
      </c>
      <c r="B13" s="127" t="inlineStr">
        <is>
          <t>Modern quarantine buckets</t>
        </is>
      </c>
      <c r="C13" s="127" t="inlineStr">
        <is>
          <t>(not in main matrix)</t>
        </is>
      </c>
      <c r="D13" s="127" t="inlineStr">
        <is>
          <t>Modern / fringe</t>
        </is>
      </c>
      <c r="E13" s="127" t="inlineStr">
        <is>
          <t>n/a - keep OUT of the ancient matrix</t>
        </is>
      </c>
      <c r="F13" s="127" t="inlineStr">
        <is>
          <t>Gobekli comet; Sphinx-Leo; Hopi Blue/Red Star; Buga sphere; clock hypothesis.</t>
        </is>
      </c>
      <c r="G13" s="127" t="inlineStr">
        <is>
          <t>Keep quarantined. Do NOT admit into the main ancient matrix. Listed here only to mark the boundary.</t>
        </is>
      </c>
    </row>
    <row r="14" ht="41.25" customHeight="1" s="61">
      <c r="A14" s="132" t="n">
        <v>11</v>
      </c>
      <c r="B14" s="132" t="inlineStr">
        <is>
          <t>Voice / authorship</t>
        </is>
      </c>
      <c r="C14" s="132" t="inlineStr">
        <is>
          <t>VA-001..VA-007, AD-003, UF-007/008</t>
        </is>
      </c>
      <c r="D14" s="132" t="inlineStr">
        <is>
          <t>Cross-cultural + Greek/Roman source layers</t>
        </is>
      </c>
      <c r="E14" s="132" t="inlineStr">
        <is>
          <t>Ovid; Longus; Aeschylus; ETCSL; Jeremiah 36; RV 10.125; Hesiod; Iliad; Polyainos</t>
        </is>
      </c>
      <c r="F14" s="132" t="inlineStr">
        <is>
          <t>Lock exact editions/translations; keep Ovid/Longus and Hesiod/tragedy layers separate; add living-tradition scholarship.</t>
        </is>
      </c>
      <c r="G14" s="132" t="inlineStr">
        <is>
          <t>Highest story relevance; the adaptation boundary is part of the source pass.</t>
        </is>
      </c>
    </row>
    <row r="15" ht="41.25" customHeight="1" s="61">
      <c r="A15" s="132" t="n">
        <v>12</v>
      </c>
      <c r="B15" s="132" t="inlineStr">
        <is>
          <t>Threshold / jurisdiction</t>
        </is>
      </c>
      <c r="C15" s="132" t="inlineStr">
        <is>
          <t>TH-001..TH-008</t>
        </is>
      </c>
      <c r="D15" s="132" t="inlineStr">
        <is>
          <t>Cross-cultural</t>
        </is>
      </c>
      <c r="E15" s="132" t="inlineStr">
        <is>
          <t>ETCSL; Journey to the West; named Book of Dead witness; Kojiki; Fasti/Livy; Homeric Hymn; Odyssey; Prose Edda</t>
        </is>
      </c>
      <c r="F15" s="132" t="inlineStr">
        <is>
          <t>Pin actual gate, passage rule, record, escort, closure, or surveillance mechanism. Reject generic liminality.</t>
        </is>
      </c>
      <c r="G15" s="132" t="inlineStr">
        <is>
          <t>Hecate route guarantee and universal exit clause remain declared fiction.</t>
        </is>
      </c>
    </row>
    <row r="16" ht="41.25" customHeight="1" s="61">
      <c r="A16" s="132" t="n">
        <v>13</v>
      </c>
      <c r="B16" s="132" t="inlineStr">
        <is>
          <t>Capture by office</t>
        </is>
      </c>
      <c r="C16" s="132" t="inlineStr">
        <is>
          <t>CO-001..CO-006 + TR-005 cross-link</t>
        </is>
      </c>
      <c r="D16" s="132" t="inlineStr">
        <is>
          <t>Cross-cultural</t>
        </is>
      </c>
      <c r="E16" s="132" t="inlineStr">
        <is>
          <t>Journey to the West; Eumenides; Mahabharata; Daniel; Genesis; Hymn to Demeter; Hymn to Hermes</t>
        </is>
      </c>
      <c r="F16" s="132" t="inlineStr">
        <is>
          <t>Verify prior disruption, offer, real authority, changed behavior, and strongest restorative/empowerment counter-reading.</t>
        </is>
      </c>
      <c r="G16" s="132" t="inlineStr">
        <is>
          <t>Wukong is the explicit anchor; counterexamples keep the cluster falsifiable.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Z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84" min="1" max="1"/>
    <col width="30" customWidth="1" style="84" min="2" max="2"/>
    <col width="48" customWidth="1" style="84" min="3" max="3"/>
    <col width="38" customWidth="1" style="84" min="4" max="4"/>
    <col width="40" customWidth="1" style="84" min="5" max="5"/>
  </cols>
  <sheetData>
    <row r="1" ht="15" customHeight="1" s="61">
      <c r="A1" s="100" t="inlineStr">
        <is>
          <t>Cluster ID</t>
        </is>
      </c>
      <c r="B1" s="100" t="inlineStr">
        <is>
          <t>Cluster Name</t>
        </is>
      </c>
      <c r="C1" s="100" t="inlineStr">
        <is>
          <t>Core Diagnostic</t>
        </is>
      </c>
      <c r="D1" s="100" t="inlineStr">
        <is>
          <t>Primary Risk</t>
        </is>
      </c>
      <c r="E1" s="100" t="inlineStr">
        <is>
          <t>Starter Comparators</t>
        </is>
      </c>
      <c r="F1" s="86" t="n"/>
      <c r="G1" s="86" t="n"/>
      <c r="H1" s="86" t="n"/>
      <c r="I1" s="86" t="n"/>
      <c r="J1" s="86" t="n"/>
      <c r="K1" s="86" t="n"/>
      <c r="L1" s="86" t="n"/>
      <c r="M1" s="86" t="n"/>
      <c r="N1" s="86" t="n"/>
      <c r="O1" s="86" t="n"/>
      <c r="P1" s="86" t="n"/>
      <c r="Q1" s="86" t="n"/>
      <c r="R1" s="86" t="n"/>
      <c r="S1" s="86" t="n"/>
      <c r="T1" s="86" t="n"/>
      <c r="U1" s="86" t="n"/>
      <c r="V1" s="86" t="n"/>
      <c r="W1" s="86" t="n"/>
      <c r="X1" s="86" t="n"/>
      <c r="Y1" s="86" t="n"/>
      <c r="Z1" s="86" t="n"/>
    </row>
    <row r="2" ht="27.75" customHeight="1" s="61">
      <c r="A2" s="94" t="inlineStr">
        <is>
          <t>PB-01</t>
        </is>
      </c>
      <c r="B2" s="94" t="inlineStr">
        <is>
          <t>Primordial Body / Corpse-World</t>
        </is>
      </c>
      <c r="C2" s="94" t="inlineStr">
        <is>
          <t>Prior living/generative body killed, sacrificed, or disassembled into world/infrastructure.</t>
        </is>
      </c>
      <c r="D2" s="94" t="inlineStr">
        <is>
          <t>Murder renamed creation; old order buried inside new order.</t>
        </is>
      </c>
      <c r="E2" s="94" t="inlineStr">
        <is>
          <t>Tiamat, Ymir, Tlaltecuhtli, Purusha, Pangu</t>
        </is>
      </c>
    </row>
    <row r="3" ht="27.75" customHeight="1" s="61">
      <c r="A3" s="94" t="inlineStr">
        <is>
          <t>OO-01</t>
        </is>
      </c>
      <c r="B3" s="94" t="inlineStr">
        <is>
          <t>Ordering Operator / New Boss</t>
        </is>
      </c>
      <c r="C3" s="94" t="inlineStr">
        <is>
          <t>Violent or strategic organizer converts crisis into permanent sovereignty.</t>
        </is>
      </c>
      <c r="D3" s="94" t="inlineStr">
        <is>
          <t>Emergency powers become permanent rule.</t>
        </is>
      </c>
      <c r="E3" s="94" t="inlineStr">
        <is>
          <t>Marduk, Odin, Indra, Baal, storm-war gods</t>
        </is>
      </c>
    </row>
    <row r="4" ht="27.75" customHeight="1" s="61">
      <c r="A4" s="94" t="inlineStr">
        <is>
          <t>RF-01</t>
        </is>
      </c>
      <c r="B4" s="94" t="inlineStr">
        <is>
          <t>Rebel Blood / Embedded Remainder</t>
        </is>
      </c>
      <c r="C4" s="94" t="inlineStr">
        <is>
          <t>Refusal, rebel material, or unauthorized knowledge becomes built into humans/culture.</t>
        </is>
      </c>
      <c r="D4" s="94" t="inlineStr">
        <is>
          <t>The rebel is killed or punished, but the system must build with the remainder.</t>
        </is>
      </c>
      <c r="E4" s="94" t="inlineStr">
        <is>
          <t>Kingu, Prometheus, Azazel, Raven, Māui</t>
        </is>
      </c>
    </row>
    <row r="5" ht="27.75" customHeight="1" s="61">
      <c r="A5" s="94" t="inlineStr">
        <is>
          <t>DF-01</t>
        </is>
      </c>
      <c r="B5" s="94" t="inlineStr">
        <is>
          <t>Demonized Feminine / Unadministrable Woman</t>
        </is>
      </c>
      <c r="C5" s="94" t="inlineStr">
        <is>
          <t>Female generative, sexual, birth/death, land, or sovereign power is monstered or split.</t>
        </is>
      </c>
      <c r="D5" s="94" t="inlineStr">
        <is>
          <t>A living female function is turned into danger requiring mediation.  (power instead co-opted/uncontained -&gt; UF-01)</t>
        </is>
      </c>
      <c r="E5" s="94" t="inlineStr">
        <is>
          <t>Tiamat, Lamashtu, Lilith, Medusa, Coyolxauhqui (Kali belongs in UF-01)</t>
        </is>
      </c>
    </row>
    <row r="6" ht="27.75" customHeight="1" s="61">
      <c r="A6" s="94" t="inlineStr">
        <is>
          <t>TR-01</t>
        </is>
      </c>
      <c r="B6" s="94" t="inlineStr">
        <is>
          <t>Trickster / Unauthorized Intelligence</t>
        </is>
      </c>
      <c r="C6" s="94" t="inlineStr">
        <is>
          <t>Boundary-crosser uses cunning, theft, humor, or loopholes to move culture forward.</t>
        </is>
      </c>
      <c r="D6" s="94" t="inlineStr">
        <is>
          <t>Order cannot license intelligence without also trying to cage it.</t>
        </is>
      </c>
      <c r="E6" s="94" t="inlineStr">
        <is>
          <t>Enki, Loki, Anansi, Coyote, Raven, Māui, Hermes</t>
        </is>
      </c>
    </row>
    <row r="7" ht="27.75" customHeight="1" s="61">
      <c r="A7" s="94" t="inlineStr">
        <is>
          <t>SC-01</t>
        </is>
      </c>
      <c r="B7" s="94" t="inlineStr">
        <is>
          <t>Scapegoat / Founding Violence</t>
        </is>
      </c>
      <c r="C7" s="94" t="inlineStr">
        <is>
          <t>A body absorbs social violence; murder or expulsion stabilizes the group.</t>
        </is>
      </c>
      <c r="D7" s="94" t="inlineStr">
        <is>
          <t>The victim becomes sacred, guilty, or foundational after the fact.</t>
        </is>
      </c>
      <c r="E7" s="94" t="inlineStr">
        <is>
          <t>Cain/Abel, Romulus/Remus, Osiris, Dionysus, Christ-type readings</t>
        </is>
      </c>
    </row>
    <row r="8" ht="27.75" customHeight="1" s="61">
      <c r="A8" s="94" t="inlineStr">
        <is>
          <t>FM-01</t>
        </is>
      </c>
      <c r="B8" s="94" t="inlineStr">
        <is>
          <t>Flood / Reset Memory</t>
        </is>
      </c>
      <c r="C8" s="94" t="inlineStr">
        <is>
          <t>Water catastrophe or social reset becomes moral/cosmic narrative.</t>
        </is>
      </c>
      <c r="D8" s="94" t="inlineStr">
        <is>
          <t>Trauma becomes doctrine; survival becomes selection story.</t>
        </is>
      </c>
      <c r="E8" s="94" t="inlineStr">
        <is>
          <t>Atrahasis, Noah, Manu, Deucalion</t>
        </is>
      </c>
    </row>
    <row r="9" ht="27.75" customHeight="1" s="61">
      <c r="A9" s="94" t="inlineStr">
        <is>
          <t>SG-01</t>
        </is>
      </c>
      <c r="B9" s="94" t="inlineStr">
        <is>
          <t>Sacred Geography / Land Claim</t>
        </is>
      </c>
      <c r="C9" s="94" t="inlineStr">
        <is>
          <t>Mountain, spring, cave, grove, river, or boundary becomes divine proof of belonging.</t>
        </is>
      </c>
      <c r="D9" s="94" t="inlineStr">
        <is>
          <t>Property becomes story; story becomes shrine; shrine becomes legitimacy.</t>
        </is>
      </c>
      <c r="E9" s="94" t="inlineStr">
        <is>
          <t>Mount Ida, sacred springs, cave births, holy mountains</t>
        </is>
      </c>
    </row>
    <row r="10" ht="27.75" customHeight="1" s="61">
      <c r="A10" s="94" t="inlineStr">
        <is>
          <t>DT-01</t>
        </is>
      </c>
      <c r="B10" s="94" t="inlineStr">
        <is>
          <t>Death-Admin / Refusal of Closure</t>
        </is>
      </c>
      <c r="C10" s="94" t="inlineStr">
        <is>
          <t>Underworld, judgment, resurrection, or return prevents power from having final say.</t>
        </is>
      </c>
      <c r="D10" s="94" t="inlineStr">
        <is>
          <t>Death is treated as administrative closure unless resisted.</t>
        </is>
      </c>
      <c r="E10" s="94" t="inlineStr">
        <is>
          <t>Hero Twins, Osiris, Persephone, resurrection traditions</t>
        </is>
      </c>
    </row>
    <row r="11" ht="27.75" customHeight="1" s="61">
      <c r="A11" s="94" t="inlineStr">
        <is>
          <t>BW-01</t>
        </is>
      </c>
      <c r="B11" s="94" t="inlineStr">
        <is>
          <t>Birth Threshold / Warding Power</t>
        </is>
      </c>
      <c r="C11" s="94" t="inlineStr">
        <is>
          <t>Childbirth, infant death, disease, milk, and postpartum danger are personified and ritually managed.</t>
        </is>
      </c>
      <c r="D11" s="94" t="inlineStr">
        <is>
          <t>Fear becomes symbol; symbol requires specialist handling.</t>
        </is>
      </c>
      <c r="E11" s="94" t="inlineStr">
        <is>
          <t>Lamashtu/Pazuzu, Lamia, Strix, protective amulets</t>
        </is>
      </c>
    </row>
    <row r="12" ht="27.75" customHeight="1" s="61">
      <c r="A12" s="94" t="inlineStr">
        <is>
          <t>AD-01</t>
        </is>
      </c>
      <c r="B12" s="94" t="inlineStr">
        <is>
          <t>Asha / Druj Functional Lens</t>
        </is>
      </c>
      <c r="C12" s="94" t="inlineStr">
        <is>
          <t>Not good vs evil: coherence/truth-pattern versus distortion/rupture, including lawful distortion.</t>
        </is>
      </c>
      <c r="D12" s="94" t="inlineStr">
        <is>
          <t>Lawful order can become capture if bypass and remainder are eliminated.</t>
        </is>
      </c>
      <c r="E12" s="94" t="inlineStr">
        <is>
          <t>Asha/Druj, order/chaos, coherence/capture</t>
        </is>
      </c>
    </row>
    <row r="13" ht="68.25" customHeight="1" s="61">
      <c r="A13" s="94" t="inlineStr">
        <is>
          <t>CC-01</t>
        </is>
      </c>
      <c r="B13" s="94" t="inlineStr">
        <is>
          <t>Sacred Contract / Covenant Capture</t>
        </is>
      </c>
      <c r="C13" s="94" t="inlineStr">
        <is>
          <t>A political-legal contract — treaty, loyalty-oath, or debt — is ported into the sacred and made cosmically permanent: a negotiable relationship becomes non-negotiable obligation.</t>
        </is>
      </c>
      <c r="D13" s="94" t="inlineStr">
        <is>
          <t>Reading formal correspondence as conscious borrowing or conspiracy; mistaking a shared legal koine for direct dependence; letting it carry a dating claim. Not every covenant is capture.</t>
        </is>
      </c>
      <c r="E13" s="94" t="inlineStr">
        <is>
          <t>Hittite suzerainty treaties / Sinai covenant; neo-Assyrian loyalty oaths (Esarhaddon); debt-bondage &amp; release (Black Ledger); divine oaths</t>
        </is>
      </c>
    </row>
    <row r="14" ht="68.25" customHeight="1" s="61">
      <c r="A14" s="94" t="inlineStr">
        <is>
          <t>UF-01</t>
        </is>
      </c>
      <c r="B14" s="94" t="inlineStr">
        <is>
          <t>Uncontained / Co-opted Feminine</t>
        </is>
      </c>
      <c r="C14" s="94" t="inlineStr">
        <is>
          <t>Female power too total to be parceled into virgin/mother/whore — so it is venerated, harnessed, or left standing as paradox rather than demonized. Co-opted (made sanctioner of male rule) or simply uncontainable.</t>
        </is>
      </c>
      <c r="D14" s="94" t="inlineStr">
        <is>
          <t>Reading veneration as liberation; missing that elevation can be its own capture. Flattening distinct goddesses into one 'great goddess'; importing modern framing onto ancient material.</t>
        </is>
      </c>
      <c r="E14" s="94" t="inlineStr">
        <is>
          <t>Inanna/Ishtar (co-option via sacred marriage); Kali (uncontained paradox); cf. Athena, Durga, Sekhmet</t>
        </is>
      </c>
    </row>
    <row r="15" ht="41.25" customHeight="1" s="61">
      <c r="A15" s="94" t="inlineStr">
        <is>
          <t>DV-01</t>
        </is>
      </c>
      <c r="B15" s="94" t="inlineStr">
        <is>
          <t>Divination / Gatekeeping the Divine Will</t>
        </is>
      </c>
      <c r="C15" s="94" t="inlineStr">
        <is>
          <t>An institutionalized technique for reading signs/omens (entrails, birds, bones, oracular utterance) that makes a credentialed diviner the mandatory interpreter of divine will — gating access to the future and the gods' approval and converting that monopoly into political power</t>
        </is>
      </c>
      <c r="D15" s="94" t="inlineStr">
        <is>
          <t>Reading practitioners as cynical frauds (the lens reads structure, not sincerity); treating legendary responses as transcripts; over-reading ambiguous evidence</t>
        </is>
      </c>
      <c r="E15" s="94" t="inlineStr">
        <is>
          <t>tamītu/extispicy (Mesopotamia); Delphi/Pythia (Greece); Roman augury &amp; haruspicy; Shang oracle bones (China)</t>
        </is>
      </c>
    </row>
    <row r="16" ht="41.25" customHeight="1" s="61">
      <c r="A16" s="94" t="inlineStr">
        <is>
          <t>DR-01</t>
        </is>
      </c>
      <c r="B16" s="94" t="inlineStr">
        <is>
          <t>Distributed Remainder / Surviving the Center's Fall</t>
        </is>
      </c>
      <c r="C16" s="94" t="inlineStr">
        <is>
          <t>Living religious signal survives or escapes capture by DISTRIBUTING when its central locus (place, monopoly, or founder) is removed</t>
        </is>
      </c>
      <c r="D16" s="94" t="inlineStr">
        <is>
          <t>Telling distribution as permanent (it re-concentrates); flattening living traditions; anti-Pharisee polemic</t>
        </is>
      </c>
      <c r="E16" s="94" t="inlineStr">
        <is>
          <t>Pharisees-&gt;rabbinic Judaism (Temple falls); Reformation priesthood-of-all; post-Buddha Sangha</t>
        </is>
      </c>
    </row>
    <row r="17" ht="66" customHeight="1" s="61">
      <c r="A17" s="97" t="inlineStr">
        <is>
          <t>VA-01</t>
        </is>
      </c>
      <c r="B17" s="97" t="inlineStr">
        <is>
          <t>Voice / Authorship / Signal Capture</t>
        </is>
      </c>
      <c r="C17" s="97" t="inlineStr">
        <is>
          <t>Who may originate, repeat, transmit, record, authenticate, suppress, or believe a message—and what survives when an authorized channel fails?</t>
        </is>
      </c>
      <c r="D17" s="97" t="inlineStr">
        <is>
          <t>Treating every silencing story as institutional censorship; assuming distributed speech is true or liberatory; blending source layers.</t>
        </is>
      </c>
      <c r="E17" s="97" t="inlineStr">
        <is>
          <t>Echo, Cassandra, Enmerkar, Jeremiah/Baruch, Vāc, Pan</t>
        </is>
      </c>
    </row>
    <row r="18" ht="66" customHeight="1" s="61">
      <c r="A18" s="97" t="inlineStr">
        <is>
          <t>TH-01</t>
        </is>
      </c>
      <c r="B18" s="97" t="inlineStr">
        <is>
          <t>Threshold / Exit / Jurisdiction</t>
        </is>
      </c>
      <c r="C18" s="97" t="inlineStr">
        <is>
          <t>A real gate, passage rule, exit condition, or jurisdictional conflict controls movement between realms or statuses; the test is whether exit is usable.</t>
        </is>
      </c>
      <c r="D18" s="97" t="inlineStr">
        <is>
          <t>Calling any liminal deity a constitutional bypass; confusing travel with free exit; flattening cult, epic, and literary layers.</t>
        </is>
      </c>
      <c r="E18" s="97" t="inlineStr">
        <is>
          <t>Inanna, Wukong, Book of the Dead gates, Izanagi, Janus, Hecate, Hermes, Heimdall</t>
        </is>
      </c>
    </row>
    <row r="19" ht="66" customHeight="1" s="61">
      <c r="A19" s="97" t="inlineStr">
        <is>
          <t>CO-01</t>
        </is>
      </c>
      <c r="B19" s="97" t="inlineStr">
        <is>
          <t>Capture by Office / Promotion</t>
        </is>
      </c>
      <c r="C19" s="97" t="inlineStr">
        <is>
          <t>A prior disruptor or threat is offered title, rank, place, or honor by the challenged order to redirect, pacify, bind, or genuinely reconcile it.</t>
        </is>
      </c>
      <c r="D19" s="97" t="inlineStr">
        <is>
          <t>Reading every promotion or reciprocal settlement as cynical co-option; ignoring substantive gains, consent, friendship, or empowerment.</t>
        </is>
      </c>
      <c r="E19" s="97" t="inlineStr">
        <is>
          <t>Wukong, Erinyes, Karna; Daniel, Joseph, and Demeter as counterexamples</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1.xml><?xml version="1.0" encoding="utf-8"?>
<worksheet xmlns="http://schemas.openxmlformats.org/spreadsheetml/2006/main">
  <sheetPr filterMode="0">
    <outlinePr summaryBelow="1" summaryRight="1"/>
    <pageSetUpPr fitToPage="0"/>
  </sheetPr>
  <dimension ref="A1:Z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84" min="1" max="5"/>
    <col width="22" customWidth="1" style="84" min="7" max="7"/>
    <col width="34" customWidth="1" style="61" min="15" max="15"/>
  </cols>
  <sheetData>
    <row r="1" ht="15" customHeight="1" s="61">
      <c r="A1" s="100" t="inlineStr">
        <is>
          <t>Cluster IDs</t>
        </is>
      </c>
      <c r="B1" s="100" t="n"/>
      <c r="C1" s="100" t="inlineStr">
        <is>
          <t>Confidence</t>
        </is>
      </c>
      <c r="D1" s="100" t="n"/>
      <c r="E1" s="100" t="inlineStr">
        <is>
          <t>Verification Status</t>
        </is>
      </c>
      <c r="F1" s="86" t="n"/>
      <c r="G1" s="99" t="inlineStr">
        <is>
          <t>Review Status</t>
        </is>
      </c>
      <c r="H1" s="86" t="n"/>
      <c r="I1" s="133" t="inlineStr">
        <is>
          <t>Tier (Motif/Interp)</t>
        </is>
      </c>
      <c r="J1" s="86" t="n"/>
      <c r="K1" s="133" t="inlineStr">
        <is>
          <t>Row Status</t>
        </is>
      </c>
      <c r="L1" s="86" t="n"/>
      <c r="M1" s="133" t="inlineStr">
        <is>
          <t>Fit Verdict</t>
        </is>
      </c>
      <c r="N1" s="86" t="n"/>
      <c r="O1" s="86" t="inlineStr">
        <is>
          <t>Evidence Mode</t>
        </is>
      </c>
      <c r="P1" s="86" t="n"/>
      <c r="Q1" s="86" t="n"/>
      <c r="R1" s="86" t="n"/>
      <c r="S1" s="86" t="n"/>
      <c r="T1" s="86" t="n"/>
      <c r="U1" s="86" t="n"/>
      <c r="V1" s="86" t="n"/>
      <c r="W1" s="86" t="n"/>
      <c r="X1" s="86" t="n"/>
      <c r="Y1" s="86" t="n"/>
      <c r="Z1" s="86" t="n"/>
    </row>
    <row r="2" ht="15" customHeight="1" s="61">
      <c r="A2" s="84" t="inlineStr">
        <is>
          <t>PB-01</t>
        </is>
      </c>
      <c r="C2" s="84" t="inlineStr">
        <is>
          <t>Tier 1</t>
        </is>
      </c>
      <c r="E2" s="84" t="inlineStr">
        <is>
          <t>Internal framework</t>
        </is>
      </c>
      <c r="G2" s="84" t="inlineStr">
        <is>
          <t>Not started</t>
        </is>
      </c>
      <c r="I2" s="60" t="inlineStr">
        <is>
          <t>Tier 1</t>
        </is>
      </c>
      <c r="K2" s="60" t="inlineStr">
        <is>
          <t>Load-bearing</t>
        </is>
      </c>
      <c r="M2" s="60" t="inlineStr">
        <is>
          <t>Fits</t>
        </is>
      </c>
      <c r="O2" s="134" t="inlineStr">
        <is>
          <t>Ancient textual core</t>
        </is>
      </c>
    </row>
    <row r="3" ht="15" customHeight="1" s="61">
      <c r="A3" s="84" t="inlineStr">
        <is>
          <t>OO-01</t>
        </is>
      </c>
      <c r="C3" s="84" t="inlineStr">
        <is>
          <t>Tier 1-2</t>
        </is>
      </c>
      <c r="E3" s="84" t="inlineStr">
        <is>
          <t>Needs source pass</t>
        </is>
      </c>
      <c r="G3" s="84" t="inlineStr">
        <is>
          <t>Model reviewed</t>
        </is>
      </c>
      <c r="I3" s="60" t="inlineStr">
        <is>
          <t>Tier 1-2</t>
        </is>
      </c>
      <c r="K3" s="60" t="inlineStr">
        <is>
          <t>Supportive</t>
        </is>
      </c>
      <c r="M3" s="60" t="inlineStr">
        <is>
          <t>Partial fit</t>
        </is>
      </c>
      <c r="O3" s="134" t="inlineStr">
        <is>
          <t>Ancient variant / reception</t>
        </is>
      </c>
    </row>
    <row r="4" ht="15" customHeight="1" s="61">
      <c r="A4" s="84" t="inlineStr">
        <is>
          <t>RF-01</t>
        </is>
      </c>
      <c r="C4" s="84" t="inlineStr">
        <is>
          <t>Tier 2</t>
        </is>
      </c>
      <c r="E4" s="84" t="inlineStr">
        <is>
          <t>Sourced</t>
        </is>
      </c>
      <c r="G4" s="84" t="inlineStr">
        <is>
          <t>Source lead found</t>
        </is>
      </c>
      <c r="I4" s="60" t="inlineStr">
        <is>
          <t>Tier 2</t>
        </is>
      </c>
      <c r="K4" s="60" t="inlineStr">
        <is>
          <t>Source-pass</t>
        </is>
      </c>
      <c r="M4" s="60" t="inlineStr">
        <is>
          <t>Poor fit</t>
        </is>
      </c>
      <c r="O4" s="134" t="inlineStr">
        <is>
          <t>Medieval / early-modern literary</t>
        </is>
      </c>
    </row>
    <row r="5" ht="15" customHeight="1" s="61">
      <c r="A5" s="84" t="inlineStr">
        <is>
          <t>DF-01</t>
        </is>
      </c>
      <c r="C5" s="84" t="inlineStr">
        <is>
          <t>Tier 3</t>
        </is>
      </c>
      <c r="E5" s="84" t="inlineStr">
        <is>
          <t>Disputed</t>
        </is>
      </c>
      <c r="G5" s="84" t="inlineStr">
        <is>
          <t>Primary sourced</t>
        </is>
      </c>
      <c r="I5" s="60" t="inlineStr">
        <is>
          <t>Tier 2-3</t>
        </is>
      </c>
      <c r="K5" s="60" t="inlineStr">
        <is>
          <t>Quarantine</t>
        </is>
      </c>
      <c r="M5" s="60" t="inlineStr">
        <is>
          <t>Counterexample</t>
        </is>
      </c>
      <c r="O5" s="134" t="inlineStr">
        <is>
          <t>Later literary reception</t>
        </is>
      </c>
    </row>
    <row r="6" ht="15" customHeight="1" s="61">
      <c r="A6" s="84" t="inlineStr">
        <is>
          <t>TR-01</t>
        </is>
      </c>
      <c r="E6" s="84" t="inlineStr">
        <is>
          <t>Rejected / removed</t>
        </is>
      </c>
      <c r="G6" s="84" t="inlineStr">
        <is>
          <t>Counterexample needed</t>
        </is>
      </c>
      <c r="I6" s="60" t="inlineStr">
        <is>
          <t>Tier 3</t>
        </is>
      </c>
      <c r="K6" s="60" t="inlineStr">
        <is>
          <t>Cut/Merge</t>
        </is>
      </c>
      <c r="M6" s="60" t="inlineStr">
        <is>
          <t>Not yet tested</t>
        </is>
      </c>
      <c r="O6" s="134" t="inlineStr">
        <is>
          <t>Mixed — separate layers</t>
        </is>
      </c>
    </row>
    <row r="7" ht="15" customHeight="1" s="61">
      <c r="A7" s="84" t="inlineStr">
        <is>
          <t>SC-01</t>
        </is>
      </c>
      <c r="G7" s="84" t="inlineStr">
        <is>
          <t>Needs rewrite</t>
        </is>
      </c>
      <c r="I7" s="60" t="inlineStr">
        <is>
          <t>n/a (lens)</t>
        </is>
      </c>
      <c r="K7" s="60" t="inlineStr">
        <is>
          <t>Methodology-only</t>
        </is>
      </c>
      <c r="O7" t="inlineStr">
        <is>
          <t>Project invention</t>
        </is>
      </c>
    </row>
    <row r="8" ht="15" customHeight="1" s="61">
      <c r="A8" s="84" t="inlineStr">
        <is>
          <t>FM-01</t>
        </is>
      </c>
      <c r="G8" s="84" t="inlineStr">
        <is>
          <t>Park / archive</t>
        </is>
      </c>
      <c r="O8" t="inlineStr">
        <is>
          <t>Legacy — not yet tagged</t>
        </is>
      </c>
    </row>
    <row r="9" ht="15" customHeight="1" s="61">
      <c r="A9" s="84" t="inlineStr">
        <is>
          <t>SG-01</t>
        </is>
      </c>
      <c r="K9" s="131" t="inlineStr">
        <is>
          <t>RULE: If Interpretation Tier = Tier 3, Row Status cannot be Supportive or Load-bearing.</t>
        </is>
      </c>
    </row>
    <row r="10" ht="15" customHeight="1" s="61">
      <c r="A10" s="84" t="inlineStr">
        <is>
          <t>DT-01</t>
        </is>
      </c>
      <c r="K10" s="131" t="inlineStr">
        <is>
          <t>Quarantine = handling discipline (do not deploy casually), NOT a claim of weak/fake evidence.</t>
        </is>
      </c>
    </row>
    <row r="11" ht="15" customHeight="1" s="61">
      <c r="A11" s="84" t="inlineStr">
        <is>
          <t>BW-01</t>
        </is>
      </c>
      <c r="K11" s="131" t="inlineStr">
        <is>
          <t>Cut/Merge composite rows are INACTIVE until split.</t>
        </is>
      </c>
    </row>
    <row r="12" ht="15" customHeight="1" s="61">
      <c r="A12" s="84" t="inlineStr">
        <is>
          <t>AD-01</t>
        </is>
      </c>
      <c r="K12" s="129" t="inlineStr">
        <is>
          <t>RULE: A cluster with no Poor fit or Counterexample row has not been tested - it has been assembled. Absence of disconfirmation is a gap in the audit, not a result.</t>
        </is>
      </c>
    </row>
    <row r="13" ht="15" customHeight="1" s="61">
      <c r="A13" s="84" t="inlineStr">
        <is>
          <t>CC-01</t>
        </is>
      </c>
      <c r="K13" s="129" t="inlineStr">
        <is>
          <t>RULE: Do not resolve a Poor fit by widening the cluster definition. Either the row moves, the cluster splits, or the mismatch stays on the record.</t>
        </is>
      </c>
    </row>
    <row r="14" ht="15" customHeight="1" s="61">
      <c r="A14" s="84" t="inlineStr">
        <is>
          <t>UF-01</t>
        </is>
      </c>
    </row>
    <row r="15" ht="15" customHeight="1" s="61">
      <c r="A15" s="84" t="inlineStr">
        <is>
          <t>DV-01</t>
        </is>
      </c>
    </row>
    <row r="16" ht="15" customHeight="1" s="61">
      <c r="A16" s="84" t="inlineStr">
        <is>
          <t>DR-01</t>
        </is>
      </c>
    </row>
    <row r="17">
      <c r="A17" t="inlineStr">
        <is>
          <t>VA-01</t>
        </is>
      </c>
    </row>
    <row r="18">
      <c r="A18" t="inlineStr">
        <is>
          <t>TH-01</t>
        </is>
      </c>
    </row>
    <row r="19">
      <c r="A19" s="135" t="inlineStr">
        <is>
          <t>CO-01</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Z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84" min="1" max="1"/>
    <col width="34" customWidth="1" style="84" min="2" max="2"/>
    <col width="60" customWidth="1" style="84" min="3" max="3"/>
    <col width="42" customWidth="1" style="84" min="4" max="4"/>
  </cols>
  <sheetData>
    <row r="1" ht="15" customHeight="1" s="61">
      <c r="A1" s="100" t="inlineStr">
        <is>
          <t>Source Key</t>
        </is>
      </c>
      <c r="B1" s="100" t="inlineStr">
        <is>
          <t>Source / File</t>
        </is>
      </c>
      <c r="C1" s="100" t="inlineStr">
        <is>
          <t>Role in Workbook</t>
        </is>
      </c>
      <c r="D1" s="100" t="inlineStr">
        <is>
          <t>Plain-text citation note</t>
        </is>
      </c>
      <c r="E1" s="86" t="n"/>
      <c r="F1" s="86" t="n"/>
      <c r="G1" s="86" t="n"/>
      <c r="H1" s="86" t="n"/>
      <c r="I1" s="86" t="n"/>
      <c r="J1" s="86" t="n"/>
      <c r="K1" s="86" t="n"/>
      <c r="L1" s="86" t="n"/>
      <c r="M1" s="86" t="n"/>
      <c r="N1" s="86" t="n"/>
      <c r="O1" s="86" t="n"/>
      <c r="P1" s="86" t="n"/>
      <c r="Q1" s="86" t="n"/>
      <c r="R1" s="86" t="n"/>
      <c r="S1" s="86" t="n"/>
      <c r="T1" s="86" t="n"/>
      <c r="U1" s="86" t="n"/>
      <c r="V1" s="86" t="n"/>
      <c r="W1" s="86" t="n"/>
      <c r="X1" s="86" t="n"/>
      <c r="Y1" s="86" t="n"/>
      <c r="Z1" s="86" t="n"/>
    </row>
    <row r="2" ht="27.75" customHeight="1" s="61">
      <c r="A2" s="94" t="inlineStr">
        <is>
          <t>MFM</t>
        </is>
      </c>
      <c r="B2" s="94" t="inlineStr">
        <is>
          <t>Myth as Fossilized Monkey Politics.PDF</t>
        </is>
      </c>
      <c r="C2" s="94" t="inlineStr">
        <is>
          <t>Primary interpretive lens: myth as processed social memory / monkey politics / confidence tiers.</t>
        </is>
      </c>
      <c r="D2" s="94" t="inlineStr">
        <is>
          <t>Uploaded in conversation; cite in ChatGPT as file source.</t>
        </is>
      </c>
    </row>
    <row r="3" ht="27.75" customHeight="1" s="61">
      <c r="A3" s="94" t="inlineStr">
        <is>
          <t>PF</t>
        </is>
      </c>
      <c r="B3" s="94" t="inlineStr">
        <is>
          <t>Priesthood-Function.PDF</t>
        </is>
      </c>
      <c r="C3" s="94" t="inlineStr">
        <is>
          <t>Systems mechanism: capture, narrative heist, embedded remainder, black ledger, countermeasures.</t>
        </is>
      </c>
      <c r="D3" s="94" t="inlineStr">
        <is>
          <t>Uploaded in conversation; cite in ChatGPT as file source.</t>
        </is>
      </c>
    </row>
    <row r="4" ht="27.75" customHeight="1" s="61">
      <c r="A4" s="94" t="inlineStr">
        <is>
          <t>Comparative candidate</t>
        </is>
      </c>
      <c r="B4" s="94" t="inlineStr">
        <is>
          <t>To be source-passed</t>
        </is>
      </c>
      <c r="C4" s="94" t="inlineStr">
        <is>
          <t>Rows marked this way are working hypotheses requiring primary/academic source verification.</t>
        </is>
      </c>
      <c r="D4" s="94" t="inlineStr">
        <is>
          <t>Do not treat as finished evidence.</t>
        </is>
      </c>
    </row>
    <row r="5" ht="27.75" customHeight="1" s="61">
      <c r="A5" s="97" t="inlineStr">
        <is>
          <t>VA-v0.21</t>
        </is>
      </c>
      <c r="B5" s="97" t="inlineStr">
        <is>
          <t>Named primary passages in VA-001..VA-007</t>
        </is>
      </c>
      <c r="C5" s="97" t="inlineStr">
        <is>
          <t>Voice/authorship comparison lane</t>
        </is>
      </c>
      <c r="D5" s="97" t="inlineStr">
        <is>
          <t>Ovid and Longus are separate late Echo traditions; every row carries a URL and a source-pass next action.</t>
        </is>
      </c>
    </row>
    <row r="6" ht="27.75" customHeight="1" s="61">
      <c r="A6" s="97" t="inlineStr">
        <is>
          <t>TH-v0.21</t>
        </is>
      </c>
      <c r="B6" s="97" t="inlineStr">
        <is>
          <t>Named primary passages in TH-001..TH-008</t>
        </is>
      </c>
      <c r="C6" s="97" t="inlineStr">
        <is>
          <t>Threshold/jurisdiction comparison lane</t>
        </is>
      </c>
      <c r="D6" s="97" t="inlineStr">
        <is>
          <t>A row requires an actual gate, passage rule, exit condition, escort, record, closure, or surveillance mechanism.</t>
        </is>
      </c>
    </row>
    <row r="7" ht="27.75" customHeight="1" s="61">
      <c r="A7" s="97" t="inlineStr">
        <is>
          <t>CO-v0.21</t>
        </is>
      </c>
      <c r="B7" s="97" t="inlineStr">
        <is>
          <t>Named primary passages in CO-001..CO-006</t>
        </is>
      </c>
      <c r="C7" s="97" t="inlineStr">
        <is>
          <t>Office/promotion comparison lane</t>
        </is>
      </c>
      <c r="D7" s="97" t="inlineStr">
        <is>
          <t>A fit requires prior disruption plus incorporation; counterexamples prevent every promotion from becoming capture.</t>
        </is>
      </c>
    </row>
    <row r="8" ht="27.75" customHeight="1" s="61">
      <c r="A8" s="97" t="inlineStr">
        <is>
          <t>Boundary rule</t>
        </is>
      </c>
      <c r="B8" s="97" t="inlineStr">
        <is>
          <t>Evidence Mode + Adaptation Boundary columns</t>
        </is>
      </c>
      <c r="C8" s="97" t="inlineStr">
        <is>
          <t>Prevents fictional synthesis from masquerading as ancient attestation</t>
        </is>
      </c>
      <c r="D8" s="97" t="inlineStr">
        <is>
          <t>Primary event → narrow function → crucial difference → interpretation tier → declared invention.</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3.xml><?xml version="1.0" encoding="utf-8"?>
<worksheet xmlns="http://schemas.openxmlformats.org/spreadsheetml/2006/main">
  <sheetPr filterMode="0">
    <outlinePr summaryBelow="1" summaryRight="1"/>
    <pageSetUpPr fitToPage="0"/>
  </sheetPr>
  <dimension ref="A1:B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84" min="1" max="1"/>
    <col width="100" customWidth="1" style="84" min="2" max="2"/>
  </cols>
  <sheetData>
    <row r="1" ht="18" customHeight="1" s="61">
      <c r="A1" s="136" t="inlineStr">
        <is>
          <t>Monkey-Myth Matrix — Operating Notes</t>
        </is>
      </c>
    </row>
    <row r="2" ht="15" customHeight="1" s="61">
      <c r="A2" s="137" t="inlineStr">
        <is>
          <t>Section</t>
        </is>
      </c>
      <c r="B2" s="137" t="inlineStr">
        <is>
          <t>Working Rule</t>
        </is>
      </c>
    </row>
    <row r="3" ht="27.75" customHeight="1" s="61">
      <c r="A3" s="86" t="inlineStr">
        <is>
          <t>Purpose</t>
        </is>
      </c>
      <c r="B3" s="86" t="inlineStr">
        <is>
          <t>Use this workbook as a disposable, model-runnable comparative matrix. It is a diagnostic scaffold, not a finished claim.</t>
        </is>
      </c>
    </row>
    <row r="4" ht="27.75" customHeight="1" s="61">
      <c r="A4" s="86" t="inlineStr">
        <is>
          <t>Core guardrail</t>
        </is>
      </c>
      <c r="B4" s="86" t="inlineStr">
        <is>
          <t>Do not argue that all myths are one literal story. Compare repeated functions: labor, sex, succession, land, sacrifice, resource control, trauma, and narrative capture.</t>
        </is>
      </c>
    </row>
    <row r="5" ht="27.75" customHeight="1" s="61">
      <c r="A5" s="86" t="inlineStr">
        <is>
          <t>Professional frame</t>
        </is>
      </c>
      <c r="B5" s="86" t="inlineStr">
        <is>
          <t>Use social-work, public-administration, political-science, criminal-justice, land-use/building-inspection, DV-advocacy, and parenting-coach lenses: people + institutions + coercion + architecture.</t>
        </is>
      </c>
    </row>
    <row r="6" ht="27.75" customHeight="1" s="61">
      <c r="A6" s="86" t="inlineStr">
        <is>
          <t>Evidence rule</t>
        </is>
      </c>
      <c r="B6" s="86" t="inlineStr">
        <is>
          <t>Pattern recognition gets you to the body. Primary sources and scholarship tell you what actually happened, what the text says, and where the comparison breaks.</t>
        </is>
      </c>
    </row>
    <row r="7" ht="27.75" customHeight="1" s="61">
      <c r="A7" s="86" t="inlineStr">
        <is>
          <t>Confidence rule</t>
        </is>
      </c>
      <c r="B7" s="86" t="inlineStr">
        <is>
          <t>Tier 1 can carry argument. Tier 2 can guide comparison. Tier 3 is rope bridge: useful, dangerous, never load-bearing alone.</t>
        </is>
      </c>
    </row>
    <row r="8" ht="27.75" customHeight="1" s="61">
      <c r="A8" s="86" t="inlineStr">
        <is>
          <t>Output rule</t>
        </is>
      </c>
      <c r="B8" s="86" t="inlineStr">
        <is>
          <t>For each model pass: ask for support, contradiction, overclaim warning, primary-source leads, and rows to add/remove.</t>
        </is>
      </c>
    </row>
    <row r="9" ht="15" customHeight="1" s="61">
      <c r="A9" s="86" t="inlineStr">
        <is>
          <t>Tone rule</t>
        </is>
      </c>
      <c r="B9" s="86" t="inlineStr">
        <is>
          <t>No crown, no prophet, no mystic authority. Monkey stories, systems analysis, narrative archaeology, source pass.</t>
        </is>
      </c>
    </row>
    <row r="10" ht="15" customHeight="1" s="61">
      <c r="A10" s="105" t="inlineStr">
        <is>
          <t>Adaptation rule</t>
        </is>
      </c>
      <c r="B10" s="105" t="inlineStr">
        <is>
          <t>Before story use, label every statement: primary-text fact, dated variant/reception, comparison, or project invention. Do not blend layers. Use: primary event → narrow function → crucial difference → interpretation tier → declared invention.</t>
        </is>
      </c>
    </row>
  </sheetData>
  <mergeCells count="1">
    <mergeCell ref="A1:B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2">
    <tablePart xmlns:r="http://schemas.openxmlformats.org/officeDocument/2006/relationships" r:id="rId1"/>
    <tablePart xmlns:r="http://schemas.openxmlformats.org/officeDocument/2006/relationships" r:id="rId2"/>
  </tableParts>
</worksheet>
</file>

<file path=xl/worksheets/sheet14.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84" min="1" max="1"/>
    <col width="24" customWidth="1" style="84" min="2" max="2"/>
    <col width="72" customWidth="1" style="84" min="3" max="3"/>
    <col width="40" customWidth="1" style="84" min="4" max="5"/>
  </cols>
  <sheetData>
    <row r="1" ht="18" customHeight="1" s="61">
      <c r="A1" s="138" t="inlineStr">
        <is>
          <t>Model Run Prompts</t>
        </is>
      </c>
    </row>
    <row r="2" ht="15" customHeight="1" s="61">
      <c r="A2" s="137" t="inlineStr">
        <is>
          <t>Prompt ID</t>
        </is>
      </c>
      <c r="B2" s="137" t="inlineStr">
        <is>
          <t>Use Case</t>
        </is>
      </c>
      <c r="C2" s="137" t="inlineStr">
        <is>
          <t>Copy / Paste Prompt</t>
        </is>
      </c>
      <c r="D2" s="137" t="inlineStr">
        <is>
          <t>Expected Return</t>
        </is>
      </c>
      <c r="E2" s="137" t="inlineStr">
        <is>
          <t>Guardrail</t>
        </is>
      </c>
    </row>
    <row r="3" ht="54.75" customHeight="1" s="61">
      <c r="A3" s="86" t="inlineStr">
        <is>
          <t>MR-01</t>
        </is>
      </c>
      <c r="B3" s="86" t="inlineStr">
        <is>
          <t>Row audit</t>
        </is>
      </c>
      <c r="C3" s="86" t="inlineStr">
        <is>
          <t>Audit the selected myth-function row. Separate: (1) what the primary text clearly says, (2) what the comparative interpretation adds, (3) what may be overclaimed, (4) which confidence tier is justified. Do not flatter the frame. Identify the strongest counterargument.</t>
        </is>
      </c>
      <c r="D3" s="86" t="inlineStr">
        <is>
          <t>A revised confidence tier, missing source needs, and a short overclaim warning.</t>
        </is>
      </c>
      <c r="E3" s="86" t="inlineStr">
        <is>
          <t>No hidden intent claims; no one-secret-origin story.</t>
        </is>
      </c>
    </row>
    <row r="4" ht="41.25" customHeight="1" s="61">
      <c r="A4" s="86" t="inlineStr">
        <is>
          <t>MR-02</t>
        </is>
      </c>
      <c r="B4" s="86" t="inlineStr">
        <is>
          <t>Cluster expansion</t>
        </is>
      </c>
      <c r="C4" s="86" t="inlineStr">
        <is>
          <t>Given this cluster definition and rows, propose 5 additional cross-cultural candidates. For each, state the surface myth, functional rhyme, primary source lead, and why it might NOT belong.</t>
        </is>
      </c>
      <c r="D4" s="86" t="inlineStr">
        <is>
          <t>Candidate rows plus reasons to reject weak matches.</t>
        </is>
      </c>
      <c r="E4" s="86" t="inlineStr">
        <is>
          <t>Weak parallels are useful only if marked weak.</t>
        </is>
      </c>
    </row>
    <row r="5" ht="41.25" customHeight="1" s="61">
      <c r="A5" s="86" t="inlineStr">
        <is>
          <t>MR-03</t>
        </is>
      </c>
      <c r="B5" s="86" t="inlineStr">
        <is>
          <t>Primary source lead pass</t>
        </is>
      </c>
      <c r="C5" s="86" t="inlineStr">
        <is>
          <t>For each selected row, list likely primary texts/artifacts/passages to verify. Do not summarize from memory as final. Return source leads and exact search terms to find editions/translations.</t>
        </is>
      </c>
      <c r="D5" s="86" t="inlineStr">
        <is>
          <t>Primary text leads and search terms.</t>
        </is>
      </c>
      <c r="E5" s="86" t="inlineStr">
        <is>
          <t>Primary sources are evidence, not priesthood.</t>
        </is>
      </c>
    </row>
    <row r="6" ht="27.75" customHeight="1" s="61">
      <c r="A6" s="86" t="inlineStr">
        <is>
          <t>MR-04</t>
        </is>
      </c>
      <c r="B6" s="86" t="inlineStr">
        <is>
          <t>Counterexample hunt</t>
        </is>
      </c>
      <c r="C6" s="86" t="inlineStr">
        <is>
          <t>Try to break this cluster. Find figures that look similar on the surface but fail the monkey-politics/priesthood-function test. Explain why.</t>
        </is>
      </c>
      <c r="D6" s="86" t="inlineStr">
        <is>
          <t>Rows to downgrade/remove and diagnostic boundary notes.</t>
        </is>
      </c>
      <c r="E6" s="86" t="inlineStr">
        <is>
          <t>A broken comparison improves the chart.</t>
        </is>
      </c>
    </row>
    <row r="7" ht="27.75" customHeight="1" s="61">
      <c r="A7" s="86" t="inlineStr">
        <is>
          <t>MR-05</t>
        </is>
      </c>
      <c r="B7" s="86" t="inlineStr">
        <is>
          <t>Priesthood-function scan</t>
        </is>
      </c>
      <c r="C7" s="86" t="inlineStr">
        <is>
          <t>For this myth, identify whether capture, canonization, debt, enforcement, narrative heist, or embedded remainder appear. If not, say no. Do not force the pattern.</t>
        </is>
      </c>
      <c r="D7" s="86" t="inlineStr">
        <is>
          <t>Priesthood-function move or 'none established'.</t>
        </is>
      </c>
      <c r="E7" s="86" t="inlineStr">
        <is>
          <t>Do not make the framework mandatory.</t>
        </is>
      </c>
    </row>
    <row r="8" ht="27.75" customHeight="1" s="61">
      <c r="A8" s="86" t="inlineStr">
        <is>
          <t>MR-06</t>
        </is>
      </c>
      <c r="B8" s="86" t="inlineStr">
        <is>
          <t>Plain-language keeper</t>
        </is>
      </c>
      <c r="C8" s="86" t="inlineStr">
        <is>
          <t>Condense the row into one vivid but defensible 'keeper' sentence and one academic-safe sentence. Keep them distinct.</t>
        </is>
      </c>
      <c r="D8" s="86" t="inlineStr">
        <is>
          <t>One field-note line and one publish-safe line.</t>
        </is>
      </c>
      <c r="E8" s="86" t="inlineStr">
        <is>
          <t>Poetry is not evidence.</t>
        </is>
      </c>
    </row>
    <row r="9" ht="41.25" customHeight="1" s="61">
      <c r="A9" s="86" t="inlineStr">
        <is>
          <t>MR-07</t>
        </is>
      </c>
      <c r="B9" s="86" t="inlineStr">
        <is>
          <t>Region lane review</t>
        </is>
      </c>
      <c r="C9" s="86" t="inlineStr">
        <is>
          <t>Review this regional lane for missing context, colonial/translation distortion, and whether the tradition is state-temple, oral, forager, pastoral, urban, imperial, or mixed.</t>
        </is>
      </c>
      <c r="D9" s="86" t="inlineStr">
        <is>
          <t>Region notes and source hazards.</t>
        </is>
      </c>
      <c r="E9" s="86" t="inlineStr">
        <is>
          <t>Old does not equal pure; oral does not equal untouched.</t>
        </is>
      </c>
    </row>
    <row r="10" ht="41.25" customHeight="1" s="61">
      <c r="A10" s="105" t="inlineStr">
        <is>
          <t>MR-08</t>
        </is>
      </c>
      <c r="B10" s="105" t="inlineStr">
        <is>
          <t>Adaptation-boundary audit</t>
        </is>
      </c>
      <c r="C10" s="105" t="inlineStr">
        <is>
          <t>For each selected claim, label it PRIMARY TEXT, DATED VARIANT/RECEPTION, COMPARATIVE INTERPRETATION, or PROJECT INVENTION. Split any sentence that mixes labels. Name the exact source layer and the strongest counter-reading.</t>
        </is>
      </c>
      <c r="D10" s="105" t="inlineStr">
        <is>
          <t>A claim-by-claim boundary table and corrected wording.</t>
        </is>
      </c>
      <c r="E10" s="105" t="inlineStr">
        <is>
          <t>A vivid invention is welcome only when declared; chronology is part of the evidence.</t>
        </is>
      </c>
    </row>
    <row r="11" ht="41.25" customHeight="1" s="61">
      <c r="A11" s="105" t="inlineStr">
        <is>
          <t>MR-09</t>
        </is>
      </c>
      <c r="B11" s="105" t="inlineStr">
        <is>
          <t>Cluster-home audit</t>
        </is>
      </c>
      <c r="C11" s="105" t="inlineStr">
        <is>
          <t>Test each selected row against the exact diagnostic for its primary cluster and all proposed cross-links. Detect duplicates, archetype inflation, and rows that fit only after the definition is widened.</t>
        </is>
      </c>
      <c r="D11" s="105" t="inlineStr">
        <is>
          <t>Keep/move/cross-link/cut verdict with one decisive reason.</t>
        </is>
      </c>
      <c r="E11" s="105" t="inlineStr">
        <is>
          <t>One primary home; cross-links are not duplicate evidence. A poor fit stays visible.</t>
        </is>
      </c>
    </row>
  </sheetData>
  <mergeCells count="1">
    <mergeCell ref="A1:E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5.xml><?xml version="1.0" encoding="utf-8"?>
<worksheet xmlns="http://schemas.openxmlformats.org/spreadsheetml/2006/main">
  <sheetPr filterMode="0">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84" min="1" max="1"/>
    <col width="18" customWidth="1" style="84" min="2" max="2"/>
    <col width="20" customWidth="1" style="84" min="3" max="3"/>
    <col width="24" customWidth="1" style="84" min="4" max="4"/>
    <col width="36" customWidth="1" style="84" min="5" max="5"/>
    <col width="54" customWidth="1" style="84" min="6" max="6"/>
    <col width="34" customWidth="1" style="84" min="7" max="7"/>
    <col width="30" customWidth="1" style="84" min="8" max="8"/>
  </cols>
  <sheetData>
    <row r="1" ht="18" customHeight="1" s="61">
      <c r="A1" s="98" t="inlineStr">
        <is>
          <t>Source Pass Queue</t>
        </is>
      </c>
    </row>
    <row r="2" ht="15" customHeight="1" s="61">
      <c r="A2" s="137" t="inlineStr">
        <is>
          <t>Priority</t>
        </is>
      </c>
      <c r="B2" s="137" t="inlineStr">
        <is>
          <t>Rows / Cluster</t>
        </is>
      </c>
      <c r="C2" s="137" t="inlineStr">
        <is>
          <t>Tradition</t>
        </is>
      </c>
      <c r="D2" s="137" t="inlineStr">
        <is>
          <t>Figure(s)</t>
        </is>
      </c>
      <c r="E2" s="137" t="inlineStr">
        <is>
          <t>Primary Text / Artifact Lead</t>
        </is>
      </c>
      <c r="F2" s="137" t="inlineStr">
        <is>
          <t>What to Verify</t>
        </is>
      </c>
      <c r="G2" s="137" t="inlineStr">
        <is>
          <t>Risk / Note</t>
        </is>
      </c>
      <c r="H2" s="137" t="inlineStr">
        <is>
          <t>Source URL / Citation</t>
        </is>
      </c>
    </row>
    <row r="3" ht="27.75" customHeight="1" s="61">
      <c r="A3" s="86" t="inlineStr">
        <is>
          <t>High</t>
        </is>
      </c>
      <c r="B3" s="86" t="inlineStr">
        <is>
          <t>PB-001 / OO-001</t>
        </is>
      </c>
      <c r="C3" s="86" t="inlineStr">
        <is>
          <t>Babylonian</t>
        </is>
      </c>
      <c r="D3" s="86" t="inlineStr">
        <is>
          <t>Tiamat / Marduk</t>
        </is>
      </c>
      <c r="E3" s="86" t="inlineStr">
        <is>
          <t>Enuma Elish tablets</t>
        </is>
      </c>
      <c r="F3" s="86" t="inlineStr">
        <is>
          <t>Verify body-cosmos creation, Marduk supremacy, chaoskampf/state ritual context.</t>
        </is>
      </c>
      <c r="G3" s="86" t="inlineStr">
        <is>
          <t>Needed before publish</t>
        </is>
      </c>
      <c r="H3" s="86" t="inlineStr">
        <is>
          <t>TBD</t>
        </is>
      </c>
    </row>
    <row r="4" ht="27.75" customHeight="1" s="61">
      <c r="A4" s="86" t="inlineStr">
        <is>
          <t>High</t>
        </is>
      </c>
      <c r="B4" s="86" t="inlineStr">
        <is>
          <t>RF-001</t>
        </is>
      </c>
      <c r="C4" s="86" t="inlineStr">
        <is>
          <t>Babylonian</t>
        </is>
      </c>
      <c r="D4" s="86" t="inlineStr">
        <is>
          <t>Kingu</t>
        </is>
      </c>
      <c r="E4" s="86" t="inlineStr">
        <is>
          <t>Enuma Elish; Atrahasis comparison</t>
        </is>
      </c>
      <c r="F4" s="86" t="inlineStr">
        <is>
          <t>Verify Kingu blood/human creation and labor function; compare with Atrahasis labor revolt.</t>
        </is>
      </c>
      <c r="G4" s="86" t="inlineStr">
        <is>
          <t>Core embedded-remainder claim</t>
        </is>
      </c>
      <c r="H4" s="86" t="inlineStr">
        <is>
          <t>TBD</t>
        </is>
      </c>
    </row>
    <row r="5" ht="27.75" customHeight="1" s="61">
      <c r="A5" s="86" t="inlineStr">
        <is>
          <t>High</t>
        </is>
      </c>
      <c r="B5" s="86" t="inlineStr">
        <is>
          <t>PB-002 / OO-002</t>
        </is>
      </c>
      <c r="C5" s="86" t="inlineStr">
        <is>
          <t>Norse</t>
        </is>
      </c>
      <c r="D5" s="86" t="inlineStr">
        <is>
          <t>Ymir / Odin + brothers</t>
        </is>
      </c>
      <c r="E5" s="86" t="inlineStr">
        <is>
          <t>Prose Edda Gylfaginning; Poetic Edda leads</t>
        </is>
      </c>
      <c r="F5" s="86" t="inlineStr">
        <is>
          <t>Verify Ymir killing and corpse-world mapping; note jötnar remainder.</t>
        </is>
      </c>
      <c r="G5" s="86" t="inlineStr">
        <is>
          <t>Strong structural parallel to Tiamat</t>
        </is>
      </c>
      <c r="H5" s="86" t="inlineStr">
        <is>
          <t>TBD</t>
        </is>
      </c>
    </row>
    <row r="6" ht="27.75" customHeight="1" s="61">
      <c r="A6" s="86" t="inlineStr">
        <is>
          <t>High</t>
        </is>
      </c>
      <c r="B6" s="86" t="inlineStr">
        <is>
          <t>PB-003 / DF</t>
        </is>
      </c>
      <c r="C6" s="86" t="inlineStr">
        <is>
          <t>Nahua / Mexica</t>
        </is>
      </c>
      <c r="D6" s="86" t="inlineStr">
        <is>
          <t>Tlaltecuhtli</t>
        </is>
      </c>
      <c r="E6" s="86" t="inlineStr">
        <is>
          <t>Source pass needed: codex / colonial-era Nahua sources</t>
        </is>
      </c>
      <c r="F6" s="86" t="inlineStr">
        <is>
          <t>Verify earth-body dismemberment and ritual feeding/debt motif.</t>
        </is>
      </c>
      <c r="G6" s="86" t="inlineStr">
        <is>
          <t>Do not overstate until sourced</t>
        </is>
      </c>
      <c r="H6" s="86" t="inlineStr">
        <is>
          <t>TBD</t>
        </is>
      </c>
    </row>
    <row r="7" ht="27.75" customHeight="1" s="61">
      <c r="A7" s="86" t="inlineStr">
        <is>
          <t>High</t>
        </is>
      </c>
      <c r="B7" s="86" t="inlineStr">
        <is>
          <t>DF</t>
        </is>
      </c>
      <c r="C7" s="86" t="inlineStr">
        <is>
          <t>Mexica</t>
        </is>
      </c>
      <c r="D7" s="86" t="inlineStr">
        <is>
          <t>Coyolxauhqui / Coatlicue / Huitzilopochtli</t>
        </is>
      </c>
      <c r="E7" s="86" t="inlineStr">
        <is>
          <t>Florentine Codex / Mexica sources / temple sculpture context</t>
        </is>
      </c>
      <c r="F7" s="86" t="inlineStr">
        <is>
          <t>Verify sibling violence, dismemberment, solar-war interpretation, and gendered power reading.</t>
        </is>
      </c>
      <c r="G7" s="86" t="inlineStr">
        <is>
          <t>Mesoamerican lane high-value</t>
        </is>
      </c>
      <c r="H7" s="86" t="inlineStr">
        <is>
          <t>TBD</t>
        </is>
      </c>
    </row>
    <row r="8" ht="27.75" customHeight="1" s="61">
      <c r="A8" s="86" t="inlineStr">
        <is>
          <t>Medium</t>
        </is>
      </c>
      <c r="B8" s="86" t="inlineStr">
        <is>
          <t>RF</t>
        </is>
      </c>
      <c r="C8" s="86" t="inlineStr">
        <is>
          <t>Greek</t>
        </is>
      </c>
      <c r="D8" s="86" t="inlineStr">
        <is>
          <t>Prometheus</t>
        </is>
      </c>
      <c r="E8" s="86" t="inlineStr">
        <is>
          <t>Hesiod / Aeschylus tradition</t>
        </is>
      </c>
      <c r="F8" s="86" t="inlineStr">
        <is>
          <t>Verify fire theft, punishment, human culture/tech transfer angle.</t>
        </is>
      </c>
      <c r="G8" s="86" t="inlineStr">
        <is>
          <t>Good unauthorized-knowledge row</t>
        </is>
      </c>
      <c r="H8" s="86" t="inlineStr">
        <is>
          <t>TBD</t>
        </is>
      </c>
    </row>
    <row r="9" ht="27.75" customHeight="1" s="61">
      <c r="A9" s="86" t="inlineStr">
        <is>
          <t>Medium</t>
        </is>
      </c>
      <c r="B9" s="86" t="inlineStr">
        <is>
          <t>RF / DF</t>
        </is>
      </c>
      <c r="C9" s="86" t="inlineStr">
        <is>
          <t>Enochic</t>
        </is>
      </c>
      <c r="D9" s="86" t="inlineStr">
        <is>
          <t>Watchers / Azazel / Nephilim</t>
        </is>
      </c>
      <c r="E9" s="86" t="inlineStr">
        <is>
          <t>1 Enoch; Genesis 6 comparative</t>
        </is>
      </c>
      <c r="F9" s="86" t="inlineStr">
        <is>
          <t>Verify forbidden craft, women, hybrid offspring, punishment.</t>
        </is>
      </c>
      <c r="G9" s="86" t="inlineStr">
        <is>
          <t>Sensitive: avoid literalist claims</t>
        </is>
      </c>
      <c r="H9" s="86" t="inlineStr">
        <is>
          <t>TBD</t>
        </is>
      </c>
    </row>
    <row r="10" ht="27.75" customHeight="1" s="61">
      <c r="A10" s="86" t="inlineStr">
        <is>
          <t>Medium</t>
        </is>
      </c>
      <c r="B10" s="86" t="inlineStr">
        <is>
          <t>AD / BW</t>
        </is>
      </c>
      <c r="C10" s="86" t="inlineStr">
        <is>
          <t>Mesopotamian</t>
        </is>
      </c>
      <c r="D10" s="86" t="inlineStr">
        <is>
          <t>Lamashtu / Pazuzu</t>
        </is>
      </c>
      <c r="E10" s="86" t="inlineStr">
        <is>
          <t>Amulets/incantation texts; Mesopotamian demonology sources</t>
        </is>
      </c>
      <c r="F10" s="86" t="inlineStr">
        <is>
          <t>Verify protective use of Pazuzu against Lamashtu; birth-threshold danger.</t>
        </is>
      </c>
      <c r="G10" s="86" t="inlineStr">
        <is>
          <t>Not good vs evil; function scan</t>
        </is>
      </c>
      <c r="H10" s="86" t="inlineStr">
        <is>
          <t>TBD</t>
        </is>
      </c>
    </row>
    <row r="11" ht="27.75" customHeight="1" s="61">
      <c r="A11" s="86" t="inlineStr">
        <is>
          <t>Medium</t>
        </is>
      </c>
      <c r="B11" s="86" t="inlineStr">
        <is>
          <t>PB</t>
        </is>
      </c>
      <c r="C11" s="86" t="inlineStr">
        <is>
          <t>Vedic</t>
        </is>
      </c>
      <c r="D11" s="86" t="inlineStr">
        <is>
          <t>Purusha</t>
        </is>
      </c>
      <c r="E11" s="86" t="inlineStr">
        <is>
          <t>Rig Veda 10.90</t>
        </is>
      </c>
      <c r="F11" s="86" t="inlineStr">
        <is>
          <t>Verify cosmic body/social order emergence; caste/body-politic caveat.</t>
        </is>
      </c>
      <c r="G11" s="86" t="inlineStr">
        <is>
          <t>Handle living religious meaning carefully</t>
        </is>
      </c>
      <c r="H11" s="86" t="inlineStr">
        <is>
          <t>TBD</t>
        </is>
      </c>
    </row>
    <row r="12" ht="27.75" customHeight="1" s="61">
      <c r="A12" s="86" t="inlineStr">
        <is>
          <t>Medium</t>
        </is>
      </c>
      <c r="B12" s="86" t="inlineStr">
        <is>
          <t>OO</t>
        </is>
      </c>
      <c r="C12" s="86" t="inlineStr">
        <is>
          <t>Vedic</t>
        </is>
      </c>
      <c r="D12" s="86" t="inlineStr">
        <is>
          <t>Indra / Vritra</t>
        </is>
      </c>
      <c r="E12" s="86" t="inlineStr">
        <is>
          <t>Rig Veda hymns</t>
        </is>
      </c>
      <c r="F12" s="86" t="inlineStr">
        <is>
          <t>Verify serpent/dragon withholding waters and release after defeat.</t>
        </is>
      </c>
      <c r="G12" s="86" t="inlineStr">
        <is>
          <t>Resource-control lane</t>
        </is>
      </c>
      <c r="H12" s="86" t="inlineStr">
        <is>
          <t>TBD</t>
        </is>
      </c>
    </row>
    <row r="13" ht="15" customHeight="1" s="61">
      <c r="A13" s="86" t="inlineStr">
        <is>
          <t>Medium</t>
        </is>
      </c>
      <c r="B13" s="86" t="inlineStr">
        <is>
          <t>DT</t>
        </is>
      </c>
      <c r="C13" s="86" t="inlineStr">
        <is>
          <t>Maya</t>
        </is>
      </c>
      <c r="D13" s="86" t="inlineStr">
        <is>
          <t>Hero Twins / Xibalba</t>
        </is>
      </c>
      <c r="E13" s="86" t="inlineStr">
        <is>
          <t>Popol Vuh</t>
        </is>
      </c>
      <c r="F13" s="86" t="inlineStr">
        <is>
          <t>Verify underworld lords, games, death/return, trickster victory.</t>
        </is>
      </c>
      <c r="G13" s="86" t="inlineStr">
        <is>
          <t>Death-admin refusal cluster</t>
        </is>
      </c>
      <c r="H13" s="86" t="inlineStr">
        <is>
          <t>TBD</t>
        </is>
      </c>
    </row>
    <row r="14" ht="27.75" customHeight="1" s="61">
      <c r="A14" s="86" t="inlineStr">
        <is>
          <t>Medium</t>
        </is>
      </c>
      <c r="B14" s="86" t="inlineStr">
        <is>
          <t>TR</t>
        </is>
      </c>
      <c r="C14" s="86" t="inlineStr">
        <is>
          <t>West African / Akan</t>
        </is>
      </c>
      <c r="D14" s="86" t="inlineStr">
        <is>
          <t>Anansi</t>
        </is>
      </c>
      <c r="E14" s="86" t="inlineStr">
        <is>
          <t>Oral tradition collections; Akan sources</t>
        </is>
      </c>
      <c r="F14" s="86" t="inlineStr">
        <is>
          <t>Verify trickster/story/intelligence-from-below motif with careful source provenance.</t>
        </is>
      </c>
      <c r="G14" s="86" t="inlineStr">
        <is>
          <t>Oral-tradition source hazard</t>
        </is>
      </c>
      <c r="H14" s="86" t="inlineStr">
        <is>
          <t>TBD</t>
        </is>
      </c>
    </row>
    <row r="15" ht="27.75" customHeight="1" s="61">
      <c r="A15" s="86" t="inlineStr">
        <is>
          <t>Medium</t>
        </is>
      </c>
      <c r="B15" s="86" t="inlineStr">
        <is>
          <t>TR</t>
        </is>
      </c>
      <c r="C15" s="86" t="inlineStr">
        <is>
          <t>Indigenous North American</t>
        </is>
      </c>
      <c r="D15" s="86" t="inlineStr">
        <is>
          <t>Coyote / Raven</t>
        </is>
      </c>
      <c r="E15" s="86" t="inlineStr">
        <is>
          <t>Tribal-specific oral sources/collections</t>
        </is>
      </c>
      <c r="F15" s="86" t="inlineStr">
        <is>
          <t>Verify without pan-Indigenous flattening; keep tribe/language/source explicit.</t>
        </is>
      </c>
      <c r="G15" s="86" t="inlineStr">
        <is>
          <t>High source ethics needed</t>
        </is>
      </c>
      <c r="H15" s="86" t="inlineStr">
        <is>
          <t>TBD</t>
        </is>
      </c>
    </row>
    <row r="16" ht="15" customHeight="1" s="61">
      <c r="A16" s="86" t="inlineStr">
        <is>
          <t>Low-Medium</t>
        </is>
      </c>
      <c r="B16" s="86" t="inlineStr">
        <is>
          <t>PB</t>
        </is>
      </c>
      <c r="C16" s="86" t="inlineStr">
        <is>
          <t>Chinese</t>
        </is>
      </c>
      <c r="D16" s="86" t="inlineStr">
        <is>
          <t>Pangu</t>
        </is>
      </c>
      <c r="E16" s="86" t="inlineStr">
        <is>
          <t>Classical Chinese myth sources</t>
        </is>
      </c>
      <c r="F16" s="86" t="inlineStr">
        <is>
          <t>Verify body-world without forcing murder/coup pattern.</t>
        </is>
      </c>
      <c r="G16" s="86" t="inlineStr">
        <is>
          <t>Softer body-world comparator</t>
        </is>
      </c>
      <c r="H16" s="86" t="inlineStr">
        <is>
          <t>TBD</t>
        </is>
      </c>
    </row>
    <row r="17" ht="15" customHeight="1" s="61">
      <c r="A17" s="105" t="inlineStr">
        <is>
          <t>High</t>
        </is>
      </c>
      <c r="B17" s="105" t="inlineStr">
        <is>
          <t>VA-001..VA-007 + AD-003 + UF-007/008</t>
        </is>
      </c>
      <c r="C17" s="105" t="inlineStr">
        <is>
          <t>Greek/Roman; Sumerian; Hebrew Bible; Rigvedic</t>
        </is>
      </c>
      <c r="D17" s="105" t="inlineStr">
        <is>
          <t>Echo, Cassandra, Enmerkar, Jeremiah/Baruch, Vāc, Pan, Dike, Metis, Nyx</t>
        </is>
      </c>
      <c r="E17" s="105" t="inlineStr">
        <is>
          <t>Named anchors in Master Matrix</t>
        </is>
      </c>
      <c r="F17" s="105" t="inlineStr">
        <is>
          <t>Verify translations, chronology, source-layer separation, and living-tradition handling.</t>
        </is>
      </c>
      <c r="G17" s="105" t="inlineStr">
        <is>
          <t>Do not merge Ovid/Longus or Hesiod/Prometheus Bound.</t>
        </is>
      </c>
      <c r="H17" s="105" t="inlineStr">
        <is>
          <t>See row URLs</t>
        </is>
      </c>
    </row>
    <row r="18" ht="15" customHeight="1" s="61">
      <c r="A18" s="105" t="inlineStr">
        <is>
          <t>High</t>
        </is>
      </c>
      <c r="B18" s="105" t="inlineStr">
        <is>
          <t>TH-001..TH-008</t>
        </is>
      </c>
      <c r="C18" s="105" t="inlineStr">
        <is>
          <t>Sumerian; Chinese; Egyptian; Japanese; Greek/Roman; Norse</t>
        </is>
      </c>
      <c r="D18" s="105" t="inlineStr">
        <is>
          <t>Inanna, Wukong, Egyptian gate spells, Izanagi, Janus, Hecate, Hermes, Heimdall</t>
        </is>
      </c>
      <c r="E18" s="105" t="inlineStr">
        <is>
          <t>Named anchors in Master Matrix</t>
        </is>
      </c>
      <c r="F18" s="105" t="inlineStr">
        <is>
          <t>Verify exact gate/exit/escort/surveillance mechanism and edition-specific passages.</t>
        </is>
      </c>
      <c r="G18" s="105" t="inlineStr">
        <is>
          <t>Hecate's open-route guarantee is fiction, not ancient rule.</t>
        </is>
      </c>
      <c r="H18" s="105" t="inlineStr">
        <is>
          <t>See row URLs</t>
        </is>
      </c>
    </row>
    <row r="19" ht="15" customHeight="1" s="61">
      <c r="A19" s="105" t="inlineStr">
        <is>
          <t>High</t>
        </is>
      </c>
      <c r="B19" s="105" t="inlineStr">
        <is>
          <t>CO-001..CO-006</t>
        </is>
      </c>
      <c r="C19" s="105" t="inlineStr">
        <is>
          <t>Chinese; Greek; Sanskrit epic; Hebrew Bible</t>
        </is>
      </c>
      <c r="D19" s="105" t="inlineStr">
        <is>
          <t>Wukong, Erinyes, Karna, Daniel, Joseph, Demeter</t>
        </is>
      </c>
      <c r="E19" s="105" t="inlineStr">
        <is>
          <t>Named anchors in Master Matrix</t>
        </is>
      </c>
      <c r="F19" s="105" t="inlineStr">
        <is>
          <t>Verify promotion intent, real authority, consent/reciprocity, and counterexamples.</t>
        </is>
      </c>
      <c r="G19" s="105" t="inlineStr">
        <is>
          <t>Do not make every office or honor cynical capture.</t>
        </is>
      </c>
      <c r="H19" s="105" t="inlineStr">
        <is>
          <t>See row URLs</t>
        </is>
      </c>
    </row>
  </sheetData>
  <mergeCells count="1">
    <mergeCell ref="A1:H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6.xml><?xml version="1.0" encoding="utf-8"?>
<worksheet xmlns="http://schemas.openxmlformats.org/spreadsheetml/2006/main">
  <sheetPr filterMode="0">
    <outlinePr summaryBelow="1" summaryRight="1"/>
    <pageSetUpPr fitToPage="0"/>
  </sheetPr>
  <dimension ref="A1:G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84" min="1" max="1"/>
    <col width="28" customWidth="1" style="84" min="2" max="2"/>
    <col width="42" customWidth="1" style="84" min="3" max="3"/>
    <col width="40" customWidth="1" style="84" min="4" max="4"/>
    <col width="50" customWidth="1" style="84" min="5" max="5"/>
    <col width="42" customWidth="1" style="84" min="6" max="6"/>
    <col width="16" customWidth="1" style="84" min="7" max="7"/>
  </cols>
  <sheetData>
    <row r="1" ht="18" customHeight="1" s="61">
      <c r="A1" s="139" t="inlineStr">
        <is>
          <t>Cluster Build Sheet</t>
        </is>
      </c>
    </row>
    <row r="2" ht="15" customHeight="1" s="61">
      <c r="A2" s="137" t="inlineStr">
        <is>
          <t>Cluster ID</t>
        </is>
      </c>
      <c r="B2" s="137" t="inlineStr">
        <is>
          <t>Cluster Name</t>
        </is>
      </c>
      <c r="C2" s="137" t="inlineStr">
        <is>
          <t>Core Function</t>
        </is>
      </c>
      <c r="D2" s="137" t="inlineStr">
        <is>
          <t>Current Candidate Figures</t>
        </is>
      </c>
      <c r="E2" s="137" t="inlineStr">
        <is>
          <t>Diagnostic Markers</t>
        </is>
      </c>
      <c r="F2" s="137" t="inlineStr">
        <is>
          <t>Question to Ask</t>
        </is>
      </c>
      <c r="G2" s="137" t="inlineStr">
        <is>
          <t>Priority</t>
        </is>
      </c>
    </row>
    <row r="3" ht="41.25" customHeight="1" s="61">
      <c r="A3" s="86" t="inlineStr">
        <is>
          <t>PB-01</t>
        </is>
      </c>
      <c r="B3" s="86" t="inlineStr">
        <is>
          <t>Primordial Body / Corpse-World</t>
        </is>
      </c>
      <c r="C3" s="86" t="inlineStr">
        <is>
          <t>Prior living/generative body becomes world/infrastructure.</t>
        </is>
      </c>
      <c r="D3" s="86" t="inlineStr">
        <is>
          <t>Tiamat, Ymir, Tlaltecuhtli, Purusha, Pangu</t>
        </is>
      </c>
      <c r="E3" s="86" t="inlineStr">
        <is>
          <t>World made from body; murder/sacrifice/dismemberment; prior order persists as terrain.</t>
        </is>
      </c>
      <c r="F3" s="86" t="inlineStr">
        <is>
          <t>Is the old body demonized, honored, sacrificed, or naturalized?</t>
        </is>
      </c>
      <c r="G3" s="86" t="inlineStr">
        <is>
          <t>High</t>
        </is>
      </c>
    </row>
    <row r="4" ht="27.75" customHeight="1" s="61">
      <c r="A4" s="86" t="inlineStr">
        <is>
          <t>OO-01</t>
        </is>
      </c>
      <c r="B4" s="86" t="inlineStr">
        <is>
          <t>Ordering Operator / New Boss</t>
        </is>
      </c>
      <c r="C4" s="86" t="inlineStr">
        <is>
          <t>New ruler/operator solves crisis and stabilizes hierarchy.</t>
        </is>
      </c>
      <c r="D4" s="86" t="inlineStr">
        <is>
          <t>Marduk, Odin, Indra, Baal, Huitzilopochtli</t>
        </is>
      </c>
      <c r="E4" s="86" t="inlineStr">
        <is>
          <t>Chaoskampf; emergency power; divine kingship; violence becomes order.</t>
        </is>
      </c>
      <c r="F4" s="86" t="inlineStr">
        <is>
          <t>Does rescue become permanent authority?</t>
        </is>
      </c>
      <c r="G4" s="86" t="inlineStr">
        <is>
          <t>High</t>
        </is>
      </c>
    </row>
    <row r="5" ht="27.75" customHeight="1" s="61">
      <c r="A5" s="86" t="inlineStr">
        <is>
          <t>RF-01</t>
        </is>
      </c>
      <c r="B5" s="86" t="inlineStr">
        <is>
          <t>Rebel Blood / Embedded Remainder</t>
        </is>
      </c>
      <c r="C5" s="86" t="inlineStr">
        <is>
          <t>Suppressed refusal/knowledge becomes built into humans/culture.</t>
        </is>
      </c>
      <c r="D5" s="86" t="inlineStr">
        <is>
          <t>Kingu, Prometheus, Azazel, Māui, Raven</t>
        </is>
      </c>
      <c r="E5" s="86" t="inlineStr">
        <is>
          <t>Rebel killed/punished; rebel substance/knowledge survives inside new system.</t>
        </is>
      </c>
      <c r="F5" s="86" t="inlineStr">
        <is>
          <t>Is the rebel erased or incorporated?</t>
        </is>
      </c>
      <c r="G5" s="86" t="inlineStr">
        <is>
          <t>High</t>
        </is>
      </c>
    </row>
    <row r="6" ht="27.75" customHeight="1" s="61">
      <c r="A6" s="86" t="inlineStr">
        <is>
          <t>DF-01</t>
        </is>
      </c>
      <c r="B6" s="86" t="inlineStr">
        <is>
          <t>Demonized Feminine / Unadministrable Woman</t>
        </is>
      </c>
      <c r="C6" s="86" t="inlineStr">
        <is>
          <t>Female power/terror/autonomy is split, monstered, or ritualized.</t>
        </is>
      </c>
      <c r="D6" s="86" t="inlineStr">
        <is>
          <t>Tiamat, Lamashtu, Lilith, Medusa, Coyolxauhqui, Kali</t>
        </is>
      </c>
      <c r="E6" s="86" t="inlineStr">
        <is>
          <t>Birth/death/sex/land/war sovereignty made dangerous; later mediation required.</t>
        </is>
      </c>
      <c r="F6" s="86" t="inlineStr">
        <is>
          <t>What did order need to make frightening?</t>
        </is>
      </c>
      <c r="G6" s="86" t="inlineStr">
        <is>
          <t>High but delicate</t>
        </is>
      </c>
    </row>
    <row r="7" ht="27.75" customHeight="1" s="61">
      <c r="A7" s="86" t="inlineStr">
        <is>
          <t>TR-01</t>
        </is>
      </c>
      <c r="B7" s="86" t="inlineStr">
        <is>
          <t>Trickster / Unauthorized Intelligence</t>
        </is>
      </c>
      <c r="C7" s="86" t="inlineStr">
        <is>
          <t>Cunning moves culture through theft, humor, mischief, loopholes.</t>
        </is>
      </c>
      <c r="D7" s="86" t="inlineStr">
        <is>
          <t>Enki, Loki, Anansi, Coyote, Raven, Māui, Hermes</t>
        </is>
      </c>
      <c r="E7" s="86" t="inlineStr">
        <is>
          <t>Weak actor beats strong actor; unauthorized transfer; boundary-crossing.</t>
        </is>
      </c>
      <c r="F7" s="86" t="inlineStr">
        <is>
          <t>Does the trickster create life, disrupt false order, or merely destroy?</t>
        </is>
      </c>
      <c r="G7" s="86" t="inlineStr">
        <is>
          <t>High</t>
        </is>
      </c>
    </row>
    <row r="8" ht="27.75" customHeight="1" s="61">
      <c r="A8" s="86" t="inlineStr">
        <is>
          <t>SC-01</t>
        </is>
      </c>
      <c r="B8" s="86" t="inlineStr">
        <is>
          <t>Scapegoat / Founding Violence</t>
        </is>
      </c>
      <c r="C8" s="86" t="inlineStr">
        <is>
          <t>One body absorbs crisis and stabilizes the group.</t>
        </is>
      </c>
      <c r="D8" s="86" t="inlineStr">
        <is>
          <t>Osiris, Dionysus, Christ-type, Oedipus, Romulus/Remus</t>
        </is>
      </c>
      <c r="E8" s="86" t="inlineStr">
        <is>
          <t>Murder/expulsion/death-return; order founded on violence.</t>
        </is>
      </c>
      <c r="F8" s="86" t="inlineStr">
        <is>
          <t>Is the victim guilty, innocent, or later sanctified?</t>
        </is>
      </c>
      <c r="G8" s="86" t="inlineStr">
        <is>
          <t>Medium</t>
        </is>
      </c>
    </row>
    <row r="9" ht="27.75" customHeight="1" s="61">
      <c r="A9" s="86" t="inlineStr">
        <is>
          <t>FM-01</t>
        </is>
      </c>
      <c r="B9" s="86" t="inlineStr">
        <is>
          <t>Flood / Reset Memory</t>
        </is>
      </c>
      <c r="C9" s="86" t="inlineStr">
        <is>
          <t>Water catastrophe/reset becomes moral/cosmic story.</t>
        </is>
      </c>
      <c r="D9" s="86" t="inlineStr">
        <is>
          <t>Atrahasis flood, Noah, Manu, Deucalion, flood traditions</t>
        </is>
      </c>
      <c r="E9" s="86" t="inlineStr">
        <is>
          <t>Environmental trauma; administrative reset; moralized disaster.</t>
        </is>
      </c>
      <c r="F9" s="86" t="inlineStr">
        <is>
          <t>Is flood memory ecological, moral, or political?</t>
        </is>
      </c>
      <c r="G9" s="86" t="inlineStr">
        <is>
          <t>High but source-specific</t>
        </is>
      </c>
    </row>
    <row r="10" ht="27.75" customHeight="1" s="61">
      <c r="A10" s="86" t="inlineStr">
        <is>
          <t>SG-01</t>
        </is>
      </c>
      <c r="B10" s="86" t="inlineStr">
        <is>
          <t>Sacred Geography / Land Claim</t>
        </is>
      </c>
      <c r="C10" s="86" t="inlineStr">
        <is>
          <t>Place becomes proof of legitimacy.</t>
        </is>
      </c>
      <c r="D10" s="86" t="inlineStr">
        <is>
          <t>Mount Ida, sacred springs, caves, groves, temple mountains</t>
        </is>
      </c>
      <c r="E10" s="86" t="inlineStr">
        <is>
          <t>Land claim with incense; birth/hiding/appearance anchors authority.</t>
        </is>
      </c>
      <c r="F10" s="86" t="inlineStr">
        <is>
          <t>Whose land/water/boundary does this authorize?</t>
        </is>
      </c>
      <c r="G10" s="86" t="inlineStr">
        <is>
          <t>Medium</t>
        </is>
      </c>
    </row>
    <row r="11" ht="27.75" customHeight="1" s="61">
      <c r="A11" s="86" t="inlineStr">
        <is>
          <t>DT-01</t>
        </is>
      </c>
      <c r="B11" s="86" t="inlineStr">
        <is>
          <t>Death-Admin / Refusal of Closure</t>
        </is>
      </c>
      <c r="C11" s="86" t="inlineStr">
        <is>
          <t>Death/order does not get final word.</t>
        </is>
      </c>
      <c r="D11" s="86" t="inlineStr">
        <is>
          <t>Hero Twins (DT-001), Persephone (DT-002), Osiris (DT-003), Dumuzi (DT-004), Baal (DT-005), Christian resurrection (DT-006)</t>
        </is>
      </c>
      <c r="E11" s="86" t="inlineStr">
        <is>
          <t>Refusal of administrative closure; return breaks finality.</t>
        </is>
      </c>
      <c r="F11" s="86" t="inlineStr">
        <is>
          <t>Who controls the ledger of the dead?</t>
        </is>
      </c>
      <c r="G11" s="86" t="inlineStr">
        <is>
          <t>Medium</t>
        </is>
      </c>
    </row>
    <row r="12" ht="27.75" customHeight="1" s="61">
      <c r="A12" s="86" t="inlineStr">
        <is>
          <t>AD-01</t>
        </is>
      </c>
      <c r="B12" s="86" t="inlineStr">
        <is>
          <t>Asha / Druj Functional Lens</t>
        </is>
      </c>
      <c r="C12" s="86" t="inlineStr">
        <is>
          <t>Coherence/truth-pattern versus distortion/rupture, not good vs evil.</t>
        </is>
      </c>
      <c r="D12" s="86" t="inlineStr">
        <is>
          <t>Lamashtu/Pazuzu; lawful capture vs living order</t>
        </is>
      </c>
      <c r="E12" s="86" t="inlineStr">
        <is>
          <t>Order can be corrupt; chaos can preserve refusal.</t>
        </is>
      </c>
      <c r="F12" s="86" t="inlineStr">
        <is>
          <t>Does this preserve life-coherence or impose administrable control?</t>
        </is>
      </c>
      <c r="G12" s="86" t="inlineStr">
        <is>
          <t>High as diagnostic lens</t>
        </is>
      </c>
    </row>
    <row r="13" ht="54.75" customHeight="1" s="61">
      <c r="A13" s="86" t="inlineStr">
        <is>
          <t>CC-01</t>
        </is>
      </c>
      <c r="B13" s="86" t="inlineStr">
        <is>
          <t>Sacred Contract / Covenant Capture</t>
        </is>
      </c>
      <c r="C13" s="86" t="inlineStr">
        <is>
          <t>Contract -&gt; sacred contract -&gt; mandatory intermediary; obligation/debt made permanent and enforced.</t>
        </is>
      </c>
      <c r="D13" s="86" t="inlineStr">
        <is>
          <t>Covenant-as-vassal-treaty (CC-001); Jubilee/debt-bondage (CC-002); Esarhaddon loyalty oaths (CC-003)</t>
        </is>
      </c>
      <c r="E13" s="86" t="inlineStr">
        <is>
          <t>Suzerain/vassal asymmetry; 'I rescued you, therefore obey'; stipulations + blessings/curses; divine witnesses; deposition/reading clause needing a specialist; debt language.</t>
        </is>
      </c>
      <c r="F13" s="86" t="inlineStr">
        <is>
          <t>Whose contract is being made unchallengeable, and who becomes the necessary interpreter?</t>
        </is>
      </c>
      <c r="G13" s="86" t="inlineStr">
        <is>
          <t>High - central priesthood-function engine</t>
        </is>
      </c>
    </row>
    <row r="14" ht="68.25" customHeight="1" s="61">
      <c r="A14" s="86" t="inlineStr">
        <is>
          <t>UF-01</t>
        </is>
      </c>
      <c r="B14" s="86" t="inlineStr">
        <is>
          <t>Uncontained / Co-opted Feminine</t>
        </is>
      </c>
      <c r="C14" s="86" t="inlineStr">
        <is>
          <t>Power too total to split is harnessed or honored instead of monstered; sometimes co-opted to legitimize male rule.</t>
        </is>
      </c>
      <c r="D14" s="86" t="inlineStr">
        <is>
          <t>Inanna/Ishtar (UF-001); Kali (UF-002); Athena; Durga; Sekhmet; Cybele</t>
        </is>
      </c>
      <c r="E14" s="86" t="inlineStr">
        <is>
          <t>Coincidence of opposites (sex+war+sovereignty+death); resists virgin/mother/whore; venerated not demonized; may legitimate kingship (sacred marriage) — capture by elevation.</t>
        </is>
      </c>
      <c r="F14" s="86" t="inlineStr">
        <is>
          <t>Was this power split and monstered, or kept whole and harnessed? Who benefits from her elevation?</t>
        </is>
      </c>
      <c r="G14" s="86" t="inlineStr">
        <is>
          <t>High - the co-option pole DF-01 was conflating with demonization</t>
        </is>
      </c>
    </row>
    <row r="15" ht="54.75" customHeight="1" s="61">
      <c r="A15" s="86" t="inlineStr">
        <is>
          <t>DV-01</t>
        </is>
      </c>
      <c r="B15" s="86" t="inlineStr">
        <is>
          <t>Divination / Gatekeeping the Divine Will</t>
        </is>
      </c>
      <c r="C15" s="86" t="inlineStr">
        <is>
          <t>Divination as the mandatory-interpreter gate — a credentialed reader of signs monopolizes access to divine will and converts it to power (the purest priesthood-function)</t>
        </is>
      </c>
      <c r="D15" s="86" t="inlineStr">
        <is>
          <t>tamītu (DV-001), Delphi (DV-002), Roman augury/haruspicy (DV-003), Shang oracle bones (DV-004)</t>
        </is>
      </c>
      <c r="E15" s="86" t="inlineStr">
        <is>
          <t>A sign-reading technique + a credentialed interpreter + gated divine access + accrued political/economic power; often tied to writing/record-keeping</t>
        </is>
      </c>
      <c r="F15" s="86" t="inlineStr">
        <is>
          <t>Who controls the reading, and what power does controlling it confer?</t>
        </is>
      </c>
      <c r="G15" s="86" t="inlineStr">
        <is>
          <t>Built (new) - seeded by tamītu relocated from CC-01</t>
        </is>
      </c>
    </row>
    <row r="16" ht="54.75" customHeight="1" s="61">
      <c r="A16" s="86" t="inlineStr">
        <is>
          <t>DR-01</t>
        </is>
      </c>
      <c r="B16" s="86" t="inlineStr">
        <is>
          <t>Distributed Remainder / Surviving the Center's Fall</t>
        </is>
      </c>
      <c r="C16" s="86" t="inlineStr">
        <is>
          <t>The remainder reactivates in portable / decentralized form when a capture-center collapses — the counterpoint to priesthood-function</t>
        </is>
      </c>
      <c r="D16" s="86" t="inlineStr">
        <is>
          <t>Pharisees/rabbinic Judaism (DR-001); Reformation (DR-002); post-Buddha Sangha (DR-003)</t>
        </is>
      </c>
      <c r="E16" s="86" t="inlineStr">
        <is>
          <t>Central place/caste/founder removed; authority relocates to portable text+practice+community; no mandatory interpreter</t>
        </is>
      </c>
      <c r="F16" s="86" t="inlineStr">
        <is>
          <t>Did the signal survive by distributing — and did the distributed form later re-concentrate into a new center?</t>
        </is>
      </c>
      <c r="G16" s="86" t="inlineStr">
        <is>
          <t>Built (new) - PF Case 2, formerly homeless</t>
        </is>
      </c>
    </row>
    <row r="17" ht="54.75" customHeight="1" s="61">
      <c r="A17" s="105" t="inlineStr">
        <is>
          <t>BW-01</t>
        </is>
      </c>
      <c r="B17" s="105" t="inlineStr">
        <is>
          <t>Birth Threshold / Warding Power</t>
        </is>
      </c>
      <c r="C17" s="105" t="inlineStr">
        <is>
          <t>Birth and infant-danger thresholds are personified and ritually managed.</t>
        </is>
      </c>
      <c r="D17" s="105" t="inlineStr">
        <is>
          <t>Lamashtu/Pazuzu; Lamia; protective amulets</t>
        </is>
      </c>
      <c r="E17" s="105" t="inlineStr">
        <is>
          <t>Childbirth danger; infant illness; apotropaic object; specialist handling.</t>
        </is>
      </c>
      <c r="F17" s="105" t="inlineStr">
        <is>
          <t>What material or ritual action protects the threshold, and who provides it?</t>
        </is>
      </c>
      <c r="G17" s="105" t="inlineStr">
        <is>
          <t>Underbuilt — material-source pass</t>
        </is>
      </c>
    </row>
    <row r="18" ht="72" customHeight="1" s="61">
      <c r="A18" s="105" t="inlineStr">
        <is>
          <t>VA-01</t>
        </is>
      </c>
      <c r="B18" s="105" t="inlineStr">
        <is>
          <t>Voice / Authorship / Signal Capture</t>
        </is>
      </c>
      <c r="C18" s="105" t="inlineStr">
        <is>
          <t>Separates origin, repetition, transmission, recording, credibility, and circulation control.</t>
        </is>
      </c>
      <c r="D18" s="105" t="inlineStr">
        <is>
          <t>Echo, Cassandra, Enmerkar, Jeremiah/Baruch, Vāc, Pan</t>
        </is>
      </c>
      <c r="E18" s="105" t="inlineStr">
        <is>
          <t>Origination/repetition split; credibility disabled; record destroyed or regenerated; signal persists without author.</t>
        </is>
      </c>
      <c r="F18" s="105" t="inlineStr">
        <is>
          <t>Who can speak, who can repeat, who is believed, and who controls the record?</t>
        </is>
      </c>
      <c r="G18" s="105" t="inlineStr">
        <is>
          <t>High — story spine and source-layer test</t>
        </is>
      </c>
    </row>
    <row r="19" ht="72" customHeight="1" s="61">
      <c r="A19" s="105" t="inlineStr">
        <is>
          <t>TH-01</t>
        </is>
      </c>
      <c r="B19" s="105" t="inlineStr">
        <is>
          <t>Threshold / Exit / Jurisdiction</t>
        </is>
      </c>
      <c r="C19" s="105" t="inlineStr">
        <is>
          <t>Tracks gates, passage costs, route closure, escort, surveillance, and conflicts between jurisdictions.</t>
        </is>
      </c>
      <c r="D19" s="105" t="inlineStr">
        <is>
          <t>Inanna, Wukong, Book of the Dead gates, Izanagi, Janus, Hecate, Hermes, Heimdall</t>
        </is>
      </c>
      <c r="E19" s="105" t="inlineStr">
        <is>
          <t>Named gate; status/payment condition; record controlling passage; authorized escort; route closed after escape.</t>
        </is>
      </c>
      <c r="F19" s="105" t="inlineStr">
        <is>
          <t>What exact rule controls entry or exit, who administers it, and can anyone appeal or bypass it?</t>
        </is>
      </c>
      <c r="G19" s="105" t="inlineStr">
        <is>
          <t>High — requires explicit passage mechanics</t>
        </is>
      </c>
    </row>
    <row r="20" ht="72" customHeight="1" s="61">
      <c r="A20" s="105" t="inlineStr">
        <is>
          <t>CO-01</t>
        </is>
      </c>
      <c r="B20" s="105" t="inlineStr">
        <is>
          <t>Capture by Office / Promotion</t>
        </is>
      </c>
      <c r="C20" s="105" t="inlineStr">
        <is>
          <t>Tests whether office redirects a prior threat, creates reciprocity, or simply rewards competence.</t>
        </is>
      </c>
      <c r="D20" s="105" t="inlineStr">
        <is>
          <t>Wukong, Erinyes, Karna; Daniel, Joseph, and Demeter as counterexamples</t>
        </is>
      </c>
      <c r="E20" s="105" t="inlineStr">
        <is>
          <t>Prior disruption; offer from challenged order; title/honor/access; changed behavior; retained or lost autonomy.</t>
        </is>
      </c>
      <c r="F20" s="105" t="inlineStr">
        <is>
          <t>What preceded the appointment, what real power changed hands, and was neutralization explicit?</t>
        </is>
      </c>
      <c r="G20" s="105" t="inlineStr">
        <is>
          <t>High — strongest fictional conflict engine</t>
        </is>
      </c>
    </row>
  </sheetData>
  <mergeCells count="1">
    <mergeCell ref="A1:G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7.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84" min="1" max="1"/>
    <col width="34" customWidth="1" style="84" min="2" max="2"/>
    <col width="50" customWidth="1" style="84" min="3" max="3"/>
    <col width="48" customWidth="1" style="84" min="4" max="4"/>
    <col width="16" customWidth="1" style="84" min="5" max="5"/>
    <col width="46" customWidth="1" style="84" min="6" max="6"/>
  </cols>
  <sheetData>
    <row r="1" ht="18" customHeight="1" s="61">
      <c r="A1" s="140" t="inlineStr">
        <is>
          <t>Regional Lanes</t>
        </is>
      </c>
    </row>
    <row r="2" ht="15" customHeight="1" s="61">
      <c r="A2" s="137" t="inlineStr">
        <is>
          <t>Region / Tradition Lane</t>
        </is>
      </c>
      <c r="B2" s="137" t="inlineStr">
        <is>
          <t>Transmission Type</t>
        </is>
      </c>
      <c r="C2" s="137" t="inlineStr">
        <is>
          <t>Initial Figures / Texts</t>
        </is>
      </c>
      <c r="D2" s="137" t="inlineStr">
        <is>
          <t>Likely Pattern Clusters</t>
        </is>
      </c>
      <c r="E2" s="137" t="inlineStr">
        <is>
          <t>Priority</t>
        </is>
      </c>
      <c r="F2" s="137" t="inlineStr">
        <is>
          <t>Source Hazard</t>
        </is>
      </c>
    </row>
    <row r="3" ht="27.75" customHeight="1" s="61">
      <c r="A3" s="86" t="inlineStr">
        <is>
          <t>Mesopotamian</t>
        </is>
      </c>
      <c r="B3" s="86" t="inlineStr">
        <is>
          <t>State-temple / imperial</t>
        </is>
      </c>
      <c r="C3" s="86" t="inlineStr">
        <is>
          <t>Atrahasis; Enuma Elish; Inanna; Lamashtu/Pazuzu</t>
        </is>
      </c>
      <c r="D3" s="86" t="inlineStr">
        <is>
          <t>Labor revolt, narrative heist, divine kingship, demon against demon</t>
        </is>
      </c>
      <c r="E3" s="86" t="inlineStr">
        <is>
          <t>High</t>
        </is>
      </c>
      <c r="F3" s="86" t="inlineStr">
        <is>
          <t>Strong source base; good first lane.</t>
        </is>
      </c>
    </row>
    <row r="4" ht="27.75" customHeight="1" s="61">
      <c r="A4" s="86" t="inlineStr">
        <is>
          <t>Norse</t>
        </is>
      </c>
      <c r="B4" s="86" t="inlineStr">
        <is>
          <t>Poetic/prose medieval transmission of older material</t>
        </is>
      </c>
      <c r="C4" s="86" t="inlineStr">
        <is>
          <t>Ymir; Odin; Loki; jötnar; Baldr</t>
        </is>
      </c>
      <c r="D4" s="86" t="inlineStr">
        <is>
          <t>Corpse-world, trickster, death/return, giant remainder</t>
        </is>
      </c>
      <c r="E4" s="86" t="inlineStr">
        <is>
          <t>High-Medium</t>
        </is>
      </c>
      <c r="F4" s="86" t="inlineStr">
        <is>
          <t>Transmission through Christian-era manuscripts; note layer risk.</t>
        </is>
      </c>
    </row>
    <row r="5" ht="27.75" customHeight="1" s="61">
      <c r="A5" s="86" t="inlineStr">
        <is>
          <t>Mesoamerican</t>
        </is>
      </c>
      <c r="B5" s="86" t="inlineStr">
        <is>
          <t>Urban/state + codices + colonial transcriptions + oral survivals</t>
        </is>
      </c>
      <c r="C5" s="86" t="inlineStr">
        <is>
          <t>Tlaltecuhtli; Coatlicue; Coyolxauhqui; Huitzilopochtli; Hero Twins; Quetzalcoatl; Tezcatlipoca</t>
        </is>
      </c>
      <c r="D5" s="86" t="inlineStr">
        <is>
          <t>Body-world, ritual debt, sibling violence, sun/war order, underworld games</t>
        </is>
      </c>
      <c r="E5" s="86" t="inlineStr">
        <is>
          <t>High</t>
        </is>
      </c>
      <c r="F5" s="86" t="inlineStr">
        <is>
          <t>Must separate Maya, Nahua/Mexica, and other traditions.</t>
        </is>
      </c>
    </row>
    <row r="6" ht="27.75" customHeight="1" s="61">
      <c r="A6" s="86" t="inlineStr">
        <is>
          <t>Sub-Saharan</t>
        </is>
      </c>
      <c r="B6" s="86" t="inlineStr">
        <is>
          <t>Oral/living traditions, forager/pastoral/urban mixed</t>
        </is>
      </c>
      <c r="C6" s="86" t="inlineStr">
        <is>
          <t>Anansi; trickster animals; sky/earth/death stories; forest cosmologies</t>
        </is>
      </c>
      <c r="D6" s="86" t="inlineStr">
        <is>
          <t>Less-administered monkey cognition, trickster ecology, kinship, death, taboo</t>
        </is>
      </c>
      <c r="E6" s="86" t="inlineStr">
        <is>
          <t>High but source-delicate</t>
        </is>
      </c>
      <c r="F6" s="86" t="inlineStr">
        <is>
          <t>Avoid flattening Africa into one lane.</t>
        </is>
      </c>
    </row>
    <row r="7" ht="27.75" customHeight="1" s="61">
      <c r="A7" s="86" t="inlineStr">
        <is>
          <t>Greek</t>
        </is>
      </c>
      <c r="B7" s="86" t="inlineStr">
        <is>
          <t>Literary/polis/cult layers</t>
        </is>
      </c>
      <c r="C7" s="86" t="inlineStr">
        <is>
          <t>Zeus/Cronus; Prometheus; Medusa; Dionysus; Athena; Hermes</t>
        </is>
      </c>
      <c r="D7" s="86" t="inlineStr">
        <is>
          <t>Succession, unauthorized knowledge, demonized female, scapegoat/ecstasy</t>
        </is>
      </c>
      <c r="E7" s="86" t="inlineStr">
        <is>
          <t>High</t>
        </is>
      </c>
      <c r="F7" s="86" t="inlineStr">
        <is>
          <t>Good comparative bridge, but heavily literary.</t>
        </is>
      </c>
    </row>
    <row r="8" ht="27.75" customHeight="1" s="61">
      <c r="A8" s="86" t="inlineStr">
        <is>
          <t>Egyptian</t>
        </is>
      </c>
      <c r="B8" s="86" t="inlineStr">
        <is>
          <t>Temple/state + funerary texts</t>
        </is>
      </c>
      <c r="C8" s="86" t="inlineStr">
        <is>
          <t>Osiris/Set/Horus; Apophis; Isis; Ma'at</t>
        </is>
      </c>
      <c r="D8" s="86" t="inlineStr">
        <is>
          <t>Succession murder, restoration, order vs anti-order, death ledger</t>
        </is>
      </c>
      <c r="E8" s="86" t="inlineStr">
        <is>
          <t>High</t>
        </is>
      </c>
      <c r="F8" s="86" t="inlineStr">
        <is>
          <t>Great for death-admin and kingship.</t>
        </is>
      </c>
    </row>
    <row r="9" ht="27.75" customHeight="1" s="61">
      <c r="A9" s="86" t="inlineStr">
        <is>
          <t>Vedic / Indic</t>
        </is>
      </c>
      <c r="B9" s="86" t="inlineStr">
        <is>
          <t>Ritual hymn + living traditions</t>
        </is>
      </c>
      <c r="C9" s="86" t="inlineStr">
        <is>
          <t>Purusha; Indra/Vritra; Kali; asha/druj adjacent via Iranian lens</t>
        </is>
      </c>
      <c r="D9" s="86" t="inlineStr">
        <is>
          <t>Sacrifice/order, resource release, fierce feminine, truth vs distortion</t>
        </is>
      </c>
      <c r="E9" s="86" t="inlineStr">
        <is>
          <t>High but delicate</t>
        </is>
      </c>
      <c r="F9" s="86" t="inlineStr">
        <is>
          <t>Handle living religions with care.</t>
        </is>
      </c>
    </row>
    <row r="10" ht="27.75" customHeight="1" s="61">
      <c r="A10" s="86" t="inlineStr">
        <is>
          <t>Indigenous North American</t>
        </is>
      </c>
      <c r="B10" s="86" t="inlineStr">
        <is>
          <t>Tribal-specific oral traditions</t>
        </is>
      </c>
      <c r="C10" s="86" t="inlineStr">
        <is>
          <t>Coyote, Raven, transformer figures</t>
        </is>
      </c>
      <c r="D10" s="86" t="inlineStr">
        <is>
          <t>Trickster, culture theft, creation-through-mischief</t>
        </is>
      </c>
      <c r="E10" s="86" t="inlineStr">
        <is>
          <t>High but ethics-heavy</t>
        </is>
      </c>
      <c r="F10" s="86" t="inlineStr">
        <is>
          <t>Never pan-Indigenous without naming source tradition.</t>
        </is>
      </c>
    </row>
    <row r="11" ht="27.75" customHeight="1" s="61">
      <c r="A11" s="86" t="inlineStr">
        <is>
          <t>Polynesian</t>
        </is>
      </c>
      <c r="B11" s="86" t="inlineStr">
        <is>
          <t>Oral/literary recorded traditions</t>
        </is>
      </c>
      <c r="C11" s="86" t="inlineStr">
        <is>
          <t>Māui</t>
        </is>
      </c>
      <c r="D11" s="86" t="inlineStr">
        <is>
          <t>Fire theft, sun-slowing, land fishing, culture-hero trickster</t>
        </is>
      </c>
      <c r="E11" s="86" t="inlineStr">
        <is>
          <t>Medium-High</t>
        </is>
      </c>
      <c r="F11" s="86" t="inlineStr">
        <is>
          <t>Good unauthorized intelligence comparator.</t>
        </is>
      </c>
    </row>
    <row r="12" ht="27.75" customHeight="1" s="61">
      <c r="A12" s="105" t="inlineStr">
        <is>
          <t>Chinese / Journey to the West</t>
        </is>
      </c>
      <c r="B12" s="105" t="inlineStr">
        <is>
          <t>Ming vernacular novel with layered religious/bureaucratic satire</t>
        </is>
      </c>
      <c r="C12" s="105" t="inlineStr">
        <is>
          <t>Wukong underworld ledger; heavenly appointments; 72 transformations</t>
        </is>
      </c>
      <c r="D12" s="105" t="inlineStr">
        <is>
          <t>TH-01, CO-01, TR-01</t>
        </is>
      </c>
      <c r="E12" s="105" t="inlineStr">
        <is>
          <t>High</t>
        </is>
      </c>
      <c r="F12" s="105" t="inlineStr">
        <is>
          <t>Novel is not a transparent map of all Chinese religion; pin chapter and translation.</t>
        </is>
      </c>
    </row>
    <row r="13" ht="27.75" customHeight="1" s="61">
      <c r="A13" s="105" t="inlineStr">
        <is>
          <t>Imperial Greek / Roman reception</t>
        </is>
      </c>
      <c r="B13" s="105" t="inlineStr">
        <is>
          <t>Late literary reception layered over earlier Greek material</t>
        </is>
      </c>
      <c r="C13" s="105" t="inlineStr">
        <is>
          <t>Ovid Echo; Longus Echo/Pan; Ovid Janus; Polyainos panic</t>
        </is>
      </c>
      <c r="D13" s="105" t="inlineStr">
        <is>
          <t>VA-01, TH-01</t>
        </is>
      </c>
      <c r="E13" s="105" t="inlineStr">
        <is>
          <t>High</t>
        </is>
      </c>
      <c r="F13" s="105" t="inlineStr">
        <is>
          <t>Chronology is decisive: Greek-language does not mean older; do not fuse variants.</t>
        </is>
      </c>
    </row>
    <row r="14" ht="27.75" customHeight="1" s="61">
      <c r="A14" s="105" t="inlineStr">
        <is>
          <t>Japanese / Kojiki</t>
        </is>
      </c>
      <c r="B14" s="105" t="inlineStr">
        <is>
          <t>Early written compilation with living reception</t>
        </is>
      </c>
      <c r="C14" s="105" t="inlineStr">
        <is>
          <t>Izanagi, Izanami, Yomi, purification</t>
        </is>
      </c>
      <c r="D14" s="105" t="inlineStr">
        <is>
          <t>TH-01, DT-01</t>
        </is>
      </c>
      <c r="E14" s="105" t="inlineStr">
        <is>
          <t>Medium-High</t>
        </is>
      </c>
      <c r="F14" s="105" t="inlineStr">
        <is>
          <t>Do not generalize one etiological episode into all Shinto thought.</t>
        </is>
      </c>
    </row>
  </sheetData>
  <mergeCells count="1">
    <mergeCell ref="A1:F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8.xml><?xml version="1.0" encoding="utf-8"?>
<worksheet xmlns="http://schemas.openxmlformats.org/spreadsheetml/2006/main">
  <sheetPr filterMode="0">
    <outlinePr summaryBelow="1" summaryRight="1"/>
    <pageSetUpPr fitToPage="0"/>
  </sheetPr>
  <dimension ref="A1:I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84" min="1" max="1"/>
    <col width="20" customWidth="1" style="84" min="2" max="2"/>
    <col width="12" customWidth="1" style="84" min="3" max="3"/>
    <col width="24" customWidth="1" style="84" min="4" max="4"/>
    <col width="40" customWidth="1" style="84" min="5" max="5"/>
    <col width="44" customWidth="1" style="84" min="6" max="6"/>
    <col width="30" customWidth="1" style="84" min="7" max="7"/>
    <col width="34" customWidth="1" style="84" min="8" max="8"/>
    <col width="18" customWidth="1" style="84" min="9" max="9"/>
  </cols>
  <sheetData>
    <row r="1" ht="18" customHeight="1" s="61">
      <c r="A1" s="141" t="inlineStr">
        <is>
          <t>Model Review Log</t>
        </is>
      </c>
    </row>
    <row r="2" ht="15" customHeight="1" s="61">
      <c r="A2" s="137" t="inlineStr">
        <is>
          <t>Date</t>
        </is>
      </c>
      <c r="B2" s="137" t="inlineStr">
        <is>
          <t>Model</t>
        </is>
      </c>
      <c r="C2" s="137" t="inlineStr">
        <is>
          <t>Prompt ID</t>
        </is>
      </c>
      <c r="D2" s="137" t="inlineStr">
        <is>
          <t>Target Rows / Cluster</t>
        </is>
      </c>
      <c r="E2" s="137" t="inlineStr">
        <is>
          <t>Run Summary</t>
        </is>
      </c>
      <c r="F2" s="137" t="inlineStr">
        <is>
          <t>Contradictions / Artifacts</t>
        </is>
      </c>
      <c r="G2" s="137" t="inlineStr">
        <is>
          <t>Rows to Add / Remove</t>
        </is>
      </c>
      <c r="H2" s="137" t="inlineStr">
        <is>
          <t>Source Leads</t>
        </is>
      </c>
      <c r="I2" s="137" t="inlineStr">
        <is>
          <t>Status</t>
        </is>
      </c>
    </row>
    <row r="3" ht="27.75" customHeight="1" s="61">
      <c r="A3" s="86" t="inlineStr">
        <is>
          <t>2026-06-14</t>
        </is>
      </c>
      <c r="B3" s="86" t="inlineStr">
        <is>
          <t>GPT / Kimi / other</t>
        </is>
      </c>
      <c r="C3" s="86" t="inlineStr">
        <is>
          <t>MR-01</t>
        </is>
      </c>
      <c r="D3" s="86" t="inlineStr">
        <is>
          <t>PB-001 to PB-005</t>
        </is>
      </c>
      <c r="E3" s="86" t="inlineStr">
        <is>
          <t>Starter pass</t>
        </is>
      </c>
      <c r="F3" s="86" t="inlineStr">
        <is>
          <t>Record what the model supports and what it tries to soften.</t>
        </is>
      </c>
      <c r="G3" s="86" t="inlineStr">
        <is>
          <t>TBD</t>
        </is>
      </c>
      <c r="H3" s="86" t="inlineStr">
        <is>
          <t>TBD</t>
        </is>
      </c>
      <c r="I3" s="86" t="inlineStr">
        <is>
          <t>Not started</t>
        </is>
      </c>
    </row>
    <row r="4" ht="27.75" customHeight="1" s="61">
      <c r="A4" s="105" t="inlineStr">
        <is>
          <t>2026-08-18</t>
        </is>
      </c>
      <c r="B4" s="105" t="inlineStr">
        <is>
          <t>Codex multi-pass source audit</t>
        </is>
      </c>
      <c r="C4" s="105" t="inlineStr">
        <is>
          <t>MR-01 / MR-04 / MR-08 / MR-09</t>
        </is>
      </c>
      <c r="D4" s="105" t="inlineStr">
        <is>
          <t>VA-01, TH-01, CO-01 + Greek cross-links</t>
        </is>
      </c>
      <c r="E4" s="105" t="inlineStr">
        <is>
          <t>Added 24 bounded rows; repaired source layers; seeded falsifiable counterexamples; created Story Bridge.</t>
        </is>
      </c>
      <c r="F4" s="105" t="inlineStr">
        <is>
          <t>Corrected Longus chronology, Hecate witness claim, Nyx overstatement, Pan/Typhon fusion, Wukong 72/73/81 confusion, and shifted workbook controls.</t>
        </is>
      </c>
      <c r="G4" s="105" t="inlineStr">
        <is>
          <t>24 added; no legacy rows removed; selected legacy rows cross-linked rather than duplicated.</t>
        </is>
      </c>
      <c r="H4" s="105" t="inlineStr">
        <is>
          <t>Named passages and URLs in Master Matrix; source-pass queue remains explicit.</t>
        </is>
      </c>
      <c r="I4" s="105" t="inlineStr">
        <is>
          <t>v0.21 built — edition-level source pass still open</t>
        </is>
      </c>
    </row>
  </sheetData>
  <mergeCells count="1">
    <mergeCell ref="A1:I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itle xmlns:dc="http://purl.org/dc/elements/1.1/">Comparative Monkey-Myth Matrix v0.21</dc:title>
  <dc:description xmlns:dc="http://purl.org/dc/elements/1.1/">CC0 working matrix. v0.21 adds VA-01, TH-01, CO-01, source-layer corrections, counterexamples, and a declared-fiction Story Bridge.</dc:description>
  <dc:subject xmlns:dc="http://purl.org/dc/elements/1.1/">Cross-cultural myth-function matrix with explicit adaptation boundaries</dc:subject>
  <dc:language xmlns:dc="http://purl.org/dc/elements/1.1/">en-US</dc:language>
  <dcterms:created xmlns:dcterms="http://purl.org/dc/terms/" xmlns:xsi="http://www.w3.org/2001/XMLSchema-instance" xsi:type="dcterms:W3CDTF">2026-06-14T09:59:28Z</dcterms:created>
  <dcterms:modified xmlns:dcterms="http://purl.org/dc/terms/" xmlns:xsi="http://www.w3.org/2001/XMLSchema-instance" xsi:type="dcterms:W3CDTF">2026-08-18T14:45:08Z</dcterms:modified>
  <cp:lastModifiedBy>Anonymous</cp:lastModifiedBy>
  <cp:revision>23</cp:revision>
</cp:coreProperties>
</file>